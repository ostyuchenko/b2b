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7b1b2f0e6590c73/Рабочий стол/"/>
    </mc:Choice>
  </mc:AlternateContent>
  <xr:revisionPtr revIDLastSave="1468" documentId="11_F25DC773A252ABDACC104887291F79145BDE58F2" xr6:coauthVersionLast="47" xr6:coauthVersionMax="47" xr10:uidLastSave="{82B3BFBC-A32C-4FC3-A810-67B24B6F598B}"/>
  <bookViews>
    <workbookView xWindow="-120" yWindow="480" windowWidth="29040" windowHeight="15120" xr2:uid="{00000000-000D-0000-FFFF-FFFF00000000}"/>
  </bookViews>
  <sheets>
    <sheet name="Sheet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2" i="1" l="1"/>
  <c r="E82" i="1"/>
  <c r="H83" i="1"/>
  <c r="H85" i="1"/>
  <c r="H87" i="1"/>
  <c r="E83" i="1"/>
  <c r="E84" i="1"/>
  <c r="H84" i="1" s="1"/>
  <c r="E85" i="1"/>
  <c r="E86" i="1"/>
  <c r="H86" i="1" s="1"/>
  <c r="E88" i="1"/>
  <c r="H88" i="1" s="1"/>
  <c r="E89" i="1"/>
  <c r="H89" i="1" s="1"/>
  <c r="E90" i="1"/>
  <c r="H90" i="1" s="1"/>
  <c r="E91" i="1"/>
  <c r="H91" i="1" s="1"/>
  <c r="E92" i="1"/>
  <c r="H92" i="1" s="1"/>
  <c r="E93" i="1"/>
  <c r="H93" i="1" s="1"/>
  <c r="E94" i="1"/>
  <c r="H94" i="1" s="1"/>
  <c r="E95" i="1"/>
  <c r="H95" i="1" s="1"/>
  <c r="E96" i="1"/>
  <c r="H96" i="1" s="1"/>
  <c r="E97" i="1"/>
  <c r="H97" i="1" s="1"/>
  <c r="E98" i="1"/>
  <c r="H98" i="1" s="1"/>
  <c r="E99" i="1"/>
  <c r="H99" i="1" s="1"/>
  <c r="E100" i="1"/>
  <c r="H100" i="1" s="1"/>
  <c r="E101" i="1"/>
  <c r="H101" i="1" s="1"/>
  <c r="E102" i="1"/>
  <c r="H102" i="1" s="1"/>
  <c r="E103" i="1"/>
  <c r="H103" i="1" s="1"/>
  <c r="E104" i="1"/>
  <c r="H104" i="1" s="1"/>
  <c r="E105" i="1"/>
  <c r="H105" i="1" s="1"/>
  <c r="E106" i="1"/>
  <c r="H106" i="1" s="1"/>
  <c r="E107" i="1"/>
  <c r="H107" i="1" s="1"/>
  <c r="E108" i="1"/>
  <c r="H108" i="1" s="1"/>
  <c r="E109" i="1"/>
  <c r="H109" i="1" s="1"/>
  <c r="E110" i="1"/>
  <c r="H110" i="1" s="1"/>
  <c r="E111" i="1"/>
  <c r="H111" i="1" s="1"/>
  <c r="E112" i="1"/>
  <c r="H112" i="1" s="1"/>
  <c r="E113" i="1"/>
  <c r="H113" i="1" s="1"/>
  <c r="E114" i="1"/>
  <c r="H114" i="1" s="1"/>
  <c r="E115" i="1"/>
  <c r="H115" i="1" s="1"/>
  <c r="E116" i="1"/>
  <c r="H116" i="1" s="1"/>
  <c r="E117" i="1"/>
  <c r="H117" i="1" s="1"/>
  <c r="E118" i="1"/>
  <c r="H118" i="1" s="1"/>
  <c r="E119" i="1"/>
  <c r="H119" i="1" s="1"/>
  <c r="E120" i="1"/>
  <c r="H120" i="1" s="1"/>
  <c r="E121" i="1"/>
  <c r="H121" i="1" s="1"/>
  <c r="E122" i="1"/>
  <c r="H122" i="1" s="1"/>
  <c r="E123" i="1"/>
  <c r="H123" i="1" s="1"/>
  <c r="E124" i="1"/>
  <c r="H124" i="1" s="1"/>
  <c r="E125" i="1"/>
  <c r="H125" i="1" s="1"/>
  <c r="E126" i="1"/>
  <c r="H126" i="1" s="1"/>
  <c r="E127" i="1"/>
  <c r="H127" i="1" s="1"/>
  <c r="E128" i="1"/>
  <c r="H128" i="1" s="1"/>
  <c r="E129" i="1"/>
  <c r="H129" i="1" s="1"/>
  <c r="E130" i="1"/>
  <c r="H130" i="1" s="1"/>
  <c r="E131" i="1"/>
  <c r="H131" i="1" s="1"/>
  <c r="E132" i="1"/>
  <c r="H132" i="1" s="1"/>
  <c r="E133" i="1"/>
  <c r="H133" i="1" s="1"/>
  <c r="E134" i="1"/>
  <c r="H134" i="1" s="1"/>
  <c r="E135" i="1"/>
  <c r="H135" i="1" s="1"/>
  <c r="E136" i="1"/>
  <c r="H136" i="1" s="1"/>
  <c r="E137" i="1"/>
  <c r="H137" i="1" s="1"/>
  <c r="E138" i="1"/>
  <c r="H138" i="1" s="1"/>
  <c r="E139" i="1"/>
  <c r="H139" i="1" s="1"/>
  <c r="E140" i="1"/>
  <c r="H140" i="1" s="1"/>
  <c r="E141" i="1"/>
  <c r="H141" i="1" s="1"/>
  <c r="E142" i="1"/>
  <c r="H142" i="1" s="1"/>
  <c r="E143" i="1"/>
  <c r="H143" i="1" s="1"/>
  <c r="E144" i="1"/>
  <c r="H144" i="1" s="1"/>
  <c r="E145" i="1"/>
  <c r="H145" i="1" s="1"/>
  <c r="E146" i="1"/>
  <c r="H146" i="1" s="1"/>
  <c r="E147" i="1"/>
  <c r="H147" i="1" s="1"/>
  <c r="E148" i="1"/>
  <c r="H148" i="1" s="1"/>
  <c r="E149" i="1"/>
  <c r="H149" i="1" s="1"/>
  <c r="E150" i="1"/>
  <c r="H150" i="1" s="1"/>
  <c r="E151" i="1"/>
  <c r="H151" i="1" s="1"/>
  <c r="E152" i="1"/>
  <c r="H152" i="1" s="1"/>
  <c r="E153" i="1"/>
  <c r="H153" i="1" s="1"/>
  <c r="E154" i="1"/>
  <c r="H154" i="1" s="1"/>
  <c r="E155" i="1"/>
  <c r="H155" i="1" s="1"/>
  <c r="E156" i="1"/>
  <c r="H156" i="1" s="1"/>
  <c r="E157" i="1"/>
  <c r="H157" i="1" s="1"/>
  <c r="E158" i="1"/>
  <c r="H158" i="1" s="1"/>
  <c r="E159" i="1"/>
  <c r="H159" i="1" s="1"/>
  <c r="E160" i="1"/>
  <c r="H160" i="1" s="1"/>
  <c r="E161" i="1"/>
  <c r="H161" i="1" s="1"/>
  <c r="E162" i="1"/>
  <c r="H162" i="1" s="1"/>
  <c r="E163" i="1"/>
  <c r="H163" i="1" s="1"/>
  <c r="E164" i="1"/>
  <c r="H164" i="1" s="1"/>
  <c r="E165" i="1"/>
  <c r="H165" i="1" s="1"/>
  <c r="E166" i="1"/>
  <c r="H166" i="1" s="1"/>
  <c r="E167" i="1"/>
  <c r="H167" i="1" s="1"/>
  <c r="E168" i="1"/>
  <c r="H168" i="1" s="1"/>
  <c r="E169" i="1"/>
  <c r="H169" i="1" s="1"/>
  <c r="E170" i="1"/>
  <c r="H170" i="1" s="1"/>
  <c r="E171" i="1"/>
  <c r="H171" i="1" s="1"/>
  <c r="E172" i="1"/>
  <c r="H172" i="1" s="1"/>
  <c r="E173" i="1"/>
  <c r="H173" i="1" s="1"/>
  <c r="E174" i="1"/>
  <c r="H174" i="1" s="1"/>
  <c r="E175" i="1"/>
  <c r="H175" i="1" s="1"/>
  <c r="E176" i="1"/>
  <c r="H176" i="1" s="1"/>
  <c r="E177" i="1"/>
  <c r="H177" i="1" s="1"/>
  <c r="E178" i="1"/>
  <c r="H178" i="1" s="1"/>
  <c r="E179" i="1"/>
  <c r="H179" i="1" s="1"/>
  <c r="E180" i="1"/>
  <c r="H180" i="1" s="1"/>
  <c r="E181" i="1"/>
  <c r="H181" i="1" s="1"/>
  <c r="E42" i="1" l="1"/>
  <c r="E41" i="1"/>
  <c r="E37" i="1"/>
  <c r="E81" i="1" l="1"/>
  <c r="H81" i="1" s="1"/>
  <c r="E80" i="1"/>
  <c r="H80" i="1" s="1"/>
  <c r="E69" i="1"/>
  <c r="E70" i="1"/>
  <c r="E71" i="1"/>
  <c r="E72" i="1"/>
  <c r="H72" i="1" s="1"/>
  <c r="E73" i="1"/>
  <c r="H73" i="1" s="1"/>
  <c r="E74" i="1"/>
  <c r="H74" i="1" s="1"/>
  <c r="E75" i="1"/>
  <c r="H75" i="1" s="1"/>
  <c r="E76" i="1"/>
  <c r="H76" i="1" s="1"/>
  <c r="E77" i="1"/>
  <c r="H77" i="1" s="1"/>
  <c r="E78" i="1"/>
  <c r="H78" i="1" s="1"/>
  <c r="E79" i="1"/>
  <c r="H79" i="1" s="1"/>
  <c r="E68" i="1"/>
  <c r="H69" i="1"/>
  <c r="H70" i="1"/>
  <c r="H71" i="1"/>
  <c r="H68" i="1"/>
  <c r="E67" i="1"/>
  <c r="H67" i="1" s="1"/>
  <c r="E66" i="1"/>
  <c r="H66" i="1" s="1"/>
  <c r="E62" i="1"/>
  <c r="H62" i="1" s="1"/>
  <c r="E63" i="1"/>
  <c r="H63" i="1" s="1"/>
  <c r="E64" i="1"/>
  <c r="H64" i="1" s="1"/>
  <c r="E65" i="1"/>
  <c r="H65" i="1" s="1"/>
  <c r="E61" i="1"/>
  <c r="H61" i="1" s="1"/>
  <c r="E60" i="1"/>
  <c r="H60" i="1" s="1"/>
  <c r="E59" i="1"/>
  <c r="H59" i="1"/>
  <c r="E46" i="1"/>
  <c r="H46" i="1" s="1"/>
  <c r="E47" i="1"/>
  <c r="H47" i="1" s="1"/>
  <c r="E48" i="1"/>
  <c r="H48" i="1" s="1"/>
  <c r="E49" i="1"/>
  <c r="H49" i="1" s="1"/>
  <c r="E50" i="1"/>
  <c r="H50" i="1" s="1"/>
  <c r="E51" i="1"/>
  <c r="H51" i="1" s="1"/>
  <c r="E52" i="1"/>
  <c r="H52" i="1" s="1"/>
  <c r="E53" i="1"/>
  <c r="H53" i="1" s="1"/>
  <c r="E54" i="1"/>
  <c r="E55" i="1"/>
  <c r="H55" i="1" s="1"/>
  <c r="E56" i="1"/>
  <c r="H56" i="1" s="1"/>
  <c r="E57" i="1"/>
  <c r="H57" i="1" s="1"/>
  <c r="E58" i="1"/>
  <c r="E45" i="1"/>
  <c r="H45" i="1" s="1"/>
  <c r="H54" i="1"/>
  <c r="H58" i="1"/>
  <c r="E28" i="1"/>
  <c r="H28" i="1" s="1"/>
  <c r="E29" i="1"/>
  <c r="H29" i="1" s="1"/>
  <c r="E30" i="1"/>
  <c r="H30" i="1" s="1"/>
  <c r="E31" i="1"/>
  <c r="H31" i="1" s="1"/>
  <c r="E32" i="1"/>
  <c r="H32" i="1" s="1"/>
  <c r="E33" i="1"/>
  <c r="H33" i="1" s="1"/>
  <c r="E34" i="1"/>
  <c r="H34" i="1" s="1"/>
  <c r="E35" i="1"/>
  <c r="H35" i="1" s="1"/>
  <c r="E36" i="1"/>
  <c r="H36" i="1" s="1"/>
  <c r="H37" i="1"/>
  <c r="E38" i="1"/>
  <c r="H38" i="1" s="1"/>
  <c r="E39" i="1"/>
  <c r="H39" i="1" s="1"/>
  <c r="E40" i="1"/>
  <c r="H40" i="1" s="1"/>
  <c r="H41" i="1"/>
  <c r="H42" i="1"/>
  <c r="E43" i="1"/>
  <c r="H43" i="1" s="1"/>
  <c r="E44" i="1"/>
  <c r="H44" i="1" s="1"/>
  <c r="E4" i="1"/>
  <c r="H4" i="1" s="1"/>
  <c r="E27" i="1"/>
  <c r="H27" i="1" s="1"/>
  <c r="E6" i="1"/>
  <c r="H6" i="1" s="1"/>
  <c r="E3" i="1"/>
  <c r="H3" i="1" s="1"/>
  <c r="E5" i="1"/>
  <c r="H5" i="1" s="1"/>
  <c r="E2" i="1"/>
  <c r="H2" i="1" s="1"/>
  <c r="E7" i="1"/>
  <c r="H7" i="1" s="1"/>
  <c r="E8" i="1"/>
  <c r="H8" i="1" s="1"/>
  <c r="E9" i="1"/>
  <c r="H9" i="1" s="1"/>
  <c r="E10" i="1"/>
  <c r="H10" i="1" s="1"/>
  <c r="E11" i="1"/>
  <c r="H11" i="1" s="1"/>
  <c r="E12" i="1"/>
  <c r="H12" i="1" s="1"/>
  <c r="E13" i="1"/>
  <c r="H13" i="1" s="1"/>
  <c r="E14" i="1"/>
  <c r="H14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4" i="1"/>
  <c r="H24" i="1" s="1"/>
  <c r="E25" i="1"/>
  <c r="H25" i="1" s="1"/>
  <c r="E26" i="1"/>
  <c r="H26" i="1" s="1"/>
  <c r="K3" i="1" l="1"/>
  <c r="K5" i="1" s="1" a="1"/>
  <c r="K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<sst xmlns="http://schemas.openxmlformats.org/spreadsheetml/2006/main" count="142" uniqueCount="139">
  <si>
    <t>Товари</t>
  </si>
  <si>
    <t>Артикул</t>
  </si>
  <si>
    <t>Кількість</t>
  </si>
  <si>
    <t>Цiна USD</t>
  </si>
  <si>
    <t>Цiна UAH</t>
  </si>
  <si>
    <t>Курс</t>
  </si>
  <si>
    <t>Продано (к-ть)</t>
  </si>
  <si>
    <t>Продано (UAH)</t>
  </si>
  <si>
    <t>https://itmsft.com/deviator</t>
  </si>
  <si>
    <t>Колонка Borofone BP13 чорна</t>
  </si>
  <si>
    <t>00-00001518</t>
  </si>
  <si>
    <t>PIN: 020702</t>
  </si>
  <si>
    <t>Колонка Borofone BR20 (BLACK)</t>
  </si>
  <si>
    <t>00-00001644</t>
  </si>
  <si>
    <t>Продано:</t>
  </si>
  <si>
    <t>Power Bank AWEI P109K 30000mAh 65W</t>
  </si>
  <si>
    <t>00-00001770</t>
  </si>
  <si>
    <t>UAH</t>
  </si>
  <si>
    <t>Мережевий зарядний пристрій HOCO C99A 2 TYPE-C PD 20W + USB QC 3.0</t>
  </si>
  <si>
    <t>00-00001982</t>
  </si>
  <si>
    <t>Активи:</t>
  </si>
  <si>
    <t>Сетвая зарядка BOROFONE BA78A Golden grid dual-port PD20W+QC3.0 charger with digital display + кабель TYPE-C - LIGHTNING</t>
  </si>
  <si>
    <t>Мережевий зарядний пристрій HOCO N14 PD 20W TYPE-C бiлий</t>
  </si>
  <si>
    <t>00-00002794</t>
  </si>
  <si>
    <t>Звірка балансу</t>
  </si>
  <si>
    <t>Мережевий зарядний пристрій HOCO N26 QC 3.0 3A USB БIЛИЙ</t>
  </si>
  <si>
    <t>00-00002795</t>
  </si>
  <si>
    <t>Мережевий зарядний пристрій HOCO N26 QC 3.0 3A USB ЧОРНИЙ</t>
  </si>
  <si>
    <t>00-00002796</t>
  </si>
  <si>
    <t>Дата:</t>
  </si>
  <si>
    <t>Сума:</t>
  </si>
  <si>
    <t>Мережевий зарядний пристрій HOCO N29 PD 35W 2 TYPE-C ЧОРНИЙ</t>
  </si>
  <si>
    <t>00-00002797</t>
  </si>
  <si>
    <t>Сетвая зарядка HOCO N22 Jetta TYPE-C PD 25W + КАБЕЛЬ Type-C - Lightning БІЛИЙ</t>
  </si>
  <si>
    <t>00-00002798</t>
  </si>
  <si>
    <t>07.10.2024</t>
  </si>
  <si>
    <t>Мережевий зарядний пристрій HOCO N31 3 TYPE-C PD 100W + USB QC 3.0</t>
  </si>
  <si>
    <t>00-00002447</t>
  </si>
  <si>
    <t>18.10.2024</t>
  </si>
  <si>
    <t>Сетвая зарядка HOCO N42 2 TYPE-C PD 45W + КАБЕЛЬ Type-C - Lightning, ЧОРНИЙ</t>
  </si>
  <si>
    <t>00-00002096</t>
  </si>
  <si>
    <t>31.10.2024</t>
  </si>
  <si>
    <t>Мережевий зарядний пристрій HOCO N32 TYPE-C PD 30W бiлий</t>
  </si>
  <si>
    <t>00-00002448</t>
  </si>
  <si>
    <t>18.11.2024</t>
  </si>
  <si>
    <t>Мережевий зарядний пристрій HOCO N32 TYPE-C PD 30W чорний</t>
  </si>
  <si>
    <t>00-00002449</t>
  </si>
  <si>
    <t>08.12.2024</t>
  </si>
  <si>
    <t>Мережевий зарядний пристрій HOCO N33 2 TYPE-C PD 35W + USB QC 3.0</t>
  </si>
  <si>
    <t>00-00002450</t>
  </si>
  <si>
    <t>26.12.2024</t>
  </si>
  <si>
    <t>Мережевий зарядний пристрій HOCO N35 2 TYPE-C PD 45W</t>
  </si>
  <si>
    <t>00-00002451</t>
  </si>
  <si>
    <t>31.01.2025</t>
  </si>
  <si>
    <t>3 916,47</t>
  </si>
  <si>
    <t>Сетвая зарядка BOROFONE BN9 Reacher PD35W dual port USB-C + кабель TYPE-C - LIGHTNING</t>
  </si>
  <si>
    <t>00-00002452</t>
  </si>
  <si>
    <t>19.02.2025</t>
  </si>
  <si>
    <t>1 987,43</t>
  </si>
  <si>
    <t>Мережевий зарядний пристрій HOCO N42 2 TYPE-C PD 45W + КАБЕЛЬ Type-C - Lightning</t>
  </si>
  <si>
    <t>00-00002412</t>
  </si>
  <si>
    <t>19.03.2025</t>
  </si>
  <si>
    <t>Сетвая зарядка BOROFONE BN10 Sunlight PD65W USB-C + USB-A + кабель TYPE-C - TYPE-C</t>
  </si>
  <si>
    <t>00-00002454</t>
  </si>
  <si>
    <t>28.04.2025</t>
  </si>
  <si>
    <t>2 246</t>
  </si>
  <si>
    <t>Сетвая зарядка BOROFONE BN6 Field PD20W USB-C + кабель TYPE-C - TYPE-C</t>
  </si>
  <si>
    <t>Мережевий зарядний пристрій HOCO NS3 з розеткою TYPE-C PD 20W + 2 USB QC 3.0 ЧОРНИЙ</t>
  </si>
  <si>
    <t>Термопринтер X1</t>
  </si>
  <si>
    <t>00-00001990</t>
  </si>
  <si>
    <t>Термопринтер X2</t>
  </si>
  <si>
    <t>00-00001991</t>
  </si>
  <si>
    <t>Цифровой Фотоаппарат з принтером D10M</t>
  </si>
  <si>
    <t>00-00001992</t>
  </si>
  <si>
    <t xml:space="preserve">Термопапір </t>
  </si>
  <si>
    <t>00-00001993</t>
  </si>
  <si>
    <t>Термостикер</t>
  </si>
  <si>
    <t>00-00001994</t>
  </si>
  <si>
    <t>AUX Borofone BL18 3.5mm 1m (Black)</t>
  </si>
  <si>
    <t>AUX Borofone BL18 3.5mm to Lightning 1m (Black)</t>
  </si>
  <si>
    <t>AUX Borofone BL18 3.5mm to Type-C 1m (Black)</t>
  </si>
  <si>
    <t>Bluetooth наушники AWEI T79 ENC</t>
  </si>
  <si>
    <t>USB Cable Borofone BX30 Type-C 1m (Black)</t>
  </si>
  <si>
    <t>USB Cable Borofone BX31 Lightning 1m (Black)</t>
  </si>
  <si>
    <t>Мышь беспроводная JEDEL W400</t>
  </si>
  <si>
    <t>00-00001995</t>
  </si>
  <si>
    <t>Мышь беспроводная 10M</t>
  </si>
  <si>
    <t>00-00001996</t>
  </si>
  <si>
    <t>USB Cable Borofone BX32 Lightning 1m (Black)</t>
  </si>
  <si>
    <t>Bluetooth наушники REMAX W30N</t>
  </si>
  <si>
    <t>00-00001997</t>
  </si>
  <si>
    <t>Кабель HDTV 2.1V 8K UHD 5m</t>
  </si>
  <si>
    <t>Кабель HDTV 2.1V 8K UHD 3m</t>
  </si>
  <si>
    <t>USB Cable Borofone BX46 Lightning 1m (Black)</t>
  </si>
  <si>
    <t>USB кабель HOCO U118 Type-C 100W</t>
  </si>
  <si>
    <t>USB кабель HOCO X87 Type-C-Type-C 60W</t>
  </si>
  <si>
    <t>00-00001998</t>
  </si>
  <si>
    <t>USB Кабель Hoco X85 Lightning 1m (Black)</t>
  </si>
  <si>
    <t>USB кабель HOCO X90 Type-C</t>
  </si>
  <si>
    <t>USB Кабель Hoco X85 Type-C 1m (Black)</t>
  </si>
  <si>
    <t xml:space="preserve">Клавиатура Беспроводная KB333 RGB                                                                   </t>
  </si>
  <si>
    <t xml:space="preserve">Клавиатура Беспроводная KB333 Combo RGB                                                                 </t>
  </si>
  <si>
    <t>Клавиатура Беспроводная K100                                                                    </t>
  </si>
  <si>
    <t xml:space="preserve">Джойстик для телефона V13                                                                   </t>
  </si>
  <si>
    <t>USB кабель HOCO X90 Type-C-Type-C 60W</t>
  </si>
  <si>
    <t>Джойстик для телефона V8                                                                    </t>
  </si>
  <si>
    <t>Игровая приставка Game Stik M8 Pro                                                                  </t>
  </si>
  <si>
    <t>Игровая приставка Data Frog Y3                                                                  </t>
  </si>
  <si>
    <t>Игровая приставка HDMI M15 с двумя джойстиками                                                                  </t>
  </si>
  <si>
    <t>Трекер Borofone BC100 білий</t>
  </si>
  <si>
    <t>GPS ТРЕКЕР HOCO DI29 PLUS БIЛИЙ</t>
  </si>
  <si>
    <t xml:space="preserve">Клавиатура Беспроводная B033 с тачпадом                                                                 </t>
  </si>
  <si>
    <t>Мышь беспроводная M233                                                                  </t>
  </si>
  <si>
    <t xml:space="preserve">Беспроводная зарядка HY03                                                                   </t>
  </si>
  <si>
    <t>Беспроводная зарядка X1 Лампа</t>
  </si>
  <si>
    <t>Мышь беспроводная WD100</t>
  </si>
  <si>
    <t>Каб. Type-C Hoco X92 3m (Black)</t>
  </si>
  <si>
    <t>Кабель BOROFONE BUS02 HDMI 4K HD 3метри</t>
  </si>
  <si>
    <t>USB кабель HOCO X50 Type-C-Type-C (2m) 100W</t>
  </si>
  <si>
    <t>Пальчикові перчатки для телефона Red</t>
  </si>
  <si>
    <t>Кабель HDMI 4k 1,5m</t>
  </si>
  <si>
    <t>Кабель HDMI 4k 3m</t>
  </si>
  <si>
    <t>Кабель HDMI 4k 5m</t>
  </si>
  <si>
    <t>Бездротова гарнiтура HOCO EQ9 PLUS ЧОРНИЙ</t>
  </si>
  <si>
    <t>Каб. Type-C to Type-C HOCO U133 60W</t>
  </si>
  <si>
    <t>USB кабель HOCO X59 Type-C (1m)</t>
  </si>
  <si>
    <t>Навушники бездротові APPLE HIGH COPY AirPods MAX</t>
  </si>
  <si>
    <t>Навушники бездротові BOROFONE BW48 чорний</t>
  </si>
  <si>
    <t>USB кабель HOCO X59 Type-C-Type-C (1m) 60W</t>
  </si>
  <si>
    <t>Навушники до комп'ютера BOROFONE BO102 Amusement gaming headphones</t>
  </si>
  <si>
    <t>Навушники до комп'ютера BOROFONE BO105 Thunder gaming headphones</t>
  </si>
  <si>
    <t>Наушники Hoco M16</t>
  </si>
  <si>
    <t>Наушники Hoco M51</t>
  </si>
  <si>
    <t>Кабель HDTV 2.0V 8K*2K 1.5m</t>
  </si>
  <si>
    <t>USB Cable Borofone BX70 Micro 1m (Black) type-c to type-c</t>
  </si>
  <si>
    <t>USD cable Apple 100W  type-c to type-c</t>
  </si>
  <si>
    <t>USB кабель HOCO X59 Micro (2m)</t>
  </si>
  <si>
    <t xml:space="preserve">USB кабель HOCO X53 Micro                                                                                           </t>
  </si>
  <si>
    <t>USB кабель HOCO X53 iPhone                                                                                        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</si>
</sst>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rgb="FF9C0006"/>
      <name val="Calibri"/>
      <family val="2"/>
      <scheme val="minor"/>
    </font>
    <font>
      <sz val="18"/>
      <color rgb="FF006100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6" fillId="9" borderId="0" applyNumberFormat="0" applyBorder="0" applyAlignment="0" applyProtection="0"/>
    <xf numFmtId="0" fontId="1" fillId="10" borderId="0" applyNumberFormat="0" applyBorder="0" applyAlignment="0" applyProtection="0"/>
    <xf numFmtId="0" fontId="6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3" fillId="14" borderId="3" applyNumberFormat="0" applyAlignment="0" applyProtection="0"/>
    <xf numFmtId="0" fontId="1" fillId="15" borderId="4" applyNumberFormat="0" applyFont="0" applyAlignment="0" applyProtection="0"/>
    <xf numFmtId="0" fontId="16" fillId="0" borderId="0" applyNumberFormat="0" applyFill="0" applyBorder="0" applyAlignment="0" applyProtection="0"/>
  </cellStyleXfs>
  <cellXfs count="45">
    <xf numFmtId="0" fontId="0" fillId="0" borderId="0" xfId="0"/>
    <xf numFmtId="0" fontId="10" fillId="0" borderId="1" xfId="1" applyFont="1" applyProtection="1">
      <protection locked="0"/>
    </xf>
    <xf numFmtId="0" fontId="0" fillId="0" borderId="0" xfId="0" applyProtection="1">
      <protection locked="0"/>
    </xf>
    <xf numFmtId="0" fontId="7" fillId="5" borderId="0" xfId="6" applyFont="1" applyProtection="1"/>
    <xf numFmtId="0" fontId="8" fillId="3" borderId="0" xfId="4" applyFont="1" applyProtection="1"/>
    <xf numFmtId="0" fontId="7" fillId="11" borderId="0" xfId="12" applyFont="1" applyProtection="1"/>
    <xf numFmtId="0" fontId="9" fillId="2" borderId="0" xfId="3" applyFont="1" applyProtection="1"/>
    <xf numFmtId="0" fontId="1" fillId="13" borderId="0" xfId="14" applyProtection="1"/>
    <xf numFmtId="0" fontId="10" fillId="0" borderId="2" xfId="2" applyFont="1" applyProtection="1"/>
    <xf numFmtId="0" fontId="1" fillId="10" borderId="0" xfId="11" applyProtection="1"/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18" borderId="0" xfId="0" applyFont="1" applyFill="1"/>
    <xf numFmtId="0" fontId="20" fillId="20" borderId="0" xfId="13" applyFont="1" applyFill="1" applyProtection="1"/>
    <xf numFmtId="0" fontId="20" fillId="20" borderId="0" xfId="0" applyFont="1" applyFill="1"/>
    <xf numFmtId="0" fontId="20" fillId="16" borderId="0" xfId="0" applyFont="1" applyFill="1"/>
    <xf numFmtId="0" fontId="20" fillId="17" borderId="0" xfId="0" applyFont="1" applyFill="1" applyAlignment="1">
      <alignment horizontal="left" vertical="center"/>
    </xf>
    <xf numFmtId="0" fontId="20" fillId="19" borderId="0" xfId="14" applyFont="1" applyFill="1" applyProtection="1"/>
    <xf numFmtId="0" fontId="20" fillId="16" borderId="0" xfId="9" applyFont="1" applyFill="1" applyProtection="1"/>
    <xf numFmtId="0" fontId="20" fillId="17" borderId="0" xfId="8" applyFont="1" applyFill="1" applyProtection="1"/>
    <xf numFmtId="0" fontId="20" fillId="18" borderId="0" xfId="7" applyFont="1" applyFill="1" applyProtection="1"/>
    <xf numFmtId="0" fontId="20" fillId="20" borderId="0" xfId="14" applyFont="1" applyFill="1" applyProtection="1"/>
    <xf numFmtId="0" fontId="20" fillId="20" borderId="0" xfId="14" applyFont="1" applyFill="1"/>
    <xf numFmtId="0" fontId="20" fillId="0" borderId="0" xfId="0" applyFont="1"/>
    <xf numFmtId="0" fontId="20" fillId="0" borderId="0" xfId="0" applyFont="1" applyProtection="1">
      <protection locked="0"/>
    </xf>
    <xf numFmtId="0" fontId="0" fillId="16" borderId="0" xfId="0" applyFill="1"/>
    <xf numFmtId="0" fontId="0" fillId="17" borderId="0" xfId="0" applyFill="1"/>
    <xf numFmtId="0" fontId="21" fillId="17" borderId="0" xfId="0" applyFont="1" applyFill="1" applyAlignment="1">
      <alignment horizontal="left" vertical="center"/>
    </xf>
    <xf numFmtId="0" fontId="0" fillId="0" borderId="0" xfId="0" quotePrefix="1" applyProtection="1">
      <protection locked="0"/>
    </xf>
    <xf numFmtId="0" fontId="20" fillId="17" borderId="0" xfId="0" applyFont="1" applyFill="1"/>
    <xf numFmtId="0" fontId="0" fillId="18" borderId="0" xfId="0" applyFill="1"/>
    <xf numFmtId="0" fontId="0" fillId="20" borderId="0" xfId="0" applyFill="1"/>
    <xf numFmtId="0" fontId="17" fillId="0" borderId="0" xfId="17" applyFont="1" applyAlignment="1">
      <alignment horizont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1" fillId="11" borderId="0" xfId="12" applyFont="1" applyAlignment="1" applyProtection="1">
      <alignment horizontal="center"/>
    </xf>
    <xf numFmtId="0" fontId="12" fillId="13" borderId="0" xfId="14" applyFont="1" applyAlignment="1" applyProtection="1">
      <alignment horizontal="center"/>
    </xf>
    <xf numFmtId="0" fontId="11" fillId="9" borderId="0" xfId="10" applyFont="1" applyAlignment="1" applyProtection="1">
      <alignment horizontal="center"/>
    </xf>
    <xf numFmtId="0" fontId="12" fillId="10" borderId="0" xfId="11" applyFont="1" applyAlignment="1" applyProtection="1">
      <alignment horizontal="center"/>
    </xf>
    <xf numFmtId="0" fontId="11" fillId="4" borderId="0" xfId="5" applyFont="1" applyAlignment="1" applyProtection="1">
      <alignment horizontal="center"/>
    </xf>
    <xf numFmtId="0" fontId="13" fillId="14" borderId="3" xfId="15" applyAlignment="1">
      <alignment horizontal="center"/>
    </xf>
    <xf numFmtId="0" fontId="0" fillId="15" borderId="4" xfId="16" applyFont="1" applyAlignment="1">
      <alignment horizontal="center"/>
    </xf>
    <xf numFmtId="0" fontId="19" fillId="14" borderId="3" xfId="15" applyFont="1" applyAlignment="1">
      <alignment horizontal="center"/>
    </xf>
    <xf numFmtId="0" fontId="19" fillId="15" borderId="4" xfId="16" applyFont="1" applyAlignment="1">
      <alignment horizontal="center"/>
    </xf>
    <xf numFmtId="14" fontId="19" fillId="14" borderId="3" xfId="15" applyNumberFormat="1" applyFont="1" applyAlignment="1">
      <alignment horizontal="center"/>
    </xf>
  </cellXfs>
  <cellStyles count="18">
    <cellStyle name="20% — акцент2" xfId="7" builtinId="34"/>
    <cellStyle name="40% — акцент2" xfId="8" builtinId="35"/>
    <cellStyle name="40% — акцент6" xfId="13" builtinId="51"/>
    <cellStyle name="60% — акцент2" xfId="9" builtinId="36"/>
    <cellStyle name="60% — акцент5" xfId="11" builtinId="48"/>
    <cellStyle name="60% — акцент6" xfId="14" builtinId="52"/>
    <cellStyle name="Акцент1" xfId="5" builtinId="29"/>
    <cellStyle name="Акцент2" xfId="6" builtinId="33"/>
    <cellStyle name="Акцент5" xfId="10" builtinId="45"/>
    <cellStyle name="Акцент6" xfId="12" builtinId="49"/>
    <cellStyle name="Ввод " xfId="15" builtinId="20"/>
    <cellStyle name="Гиперссылка" xfId="17" builtinId="8"/>
    <cellStyle name="Заголовок 1" xfId="1" builtinId="16"/>
    <cellStyle name="Заголовок 2" xfId="2" builtinId="17"/>
    <cellStyle name="Обычный" xfId="0" builtinId="0"/>
    <cellStyle name="Плохой" xfId="4" builtinId="27"/>
    <cellStyle name="Примечание" xfId="16" builtinId="10"/>
    <cellStyle name="Хороший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tmsft.com/devia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81"/>
  <sheetViews>
    <sheetView tabSelected="1" zoomScale="85" zoomScaleNormal="85" workbookViewId="0">
      <selection activeCell="C22" sqref="C22"/>
    </sheetView>
  </sheetViews>
  <sheetFormatPr defaultRowHeight="15" x14ac:dyDescent="0.25"/>
  <cols>
    <col min="1" max="1" width="90.140625" customWidth="1"/>
    <col min="2" max="2" width="13" customWidth="1"/>
    <col min="3" max="3" width="14.7109375" customWidth="1"/>
    <col min="4" max="4" width="13.85546875" customWidth="1"/>
    <col min="5" max="5" width="14.140625" customWidth="1"/>
    <col min="6" max="6" width="9.28515625" customWidth="1"/>
    <col min="7" max="7" width="23" style="2" customWidth="1"/>
    <col min="8" max="8" width="23.5703125" customWidth="1"/>
    <col min="14" max="16384" width="9.140625" style="2"/>
  </cols>
  <sheetData>
    <row r="1" spans="1:14" ht="27" thickBot="1" x14ac:dyDescent="0.4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1" t="s">
        <v>6</v>
      </c>
      <c r="H1" s="8" t="s">
        <v>7</v>
      </c>
      <c r="I1" s="32" t="s">
        <v>8</v>
      </c>
      <c r="J1" s="33"/>
      <c r="K1" s="33"/>
      <c r="L1" s="33"/>
      <c r="M1" s="33"/>
      <c r="N1" s="33"/>
    </row>
    <row r="2" spans="1:14" ht="21.75" thickTop="1" x14ac:dyDescent="0.35">
      <c r="A2" s="18" t="s">
        <v>9</v>
      </c>
      <c r="B2" s="19" t="s">
        <v>10</v>
      </c>
      <c r="C2" s="20">
        <v>1</v>
      </c>
      <c r="D2" s="21">
        <v>23</v>
      </c>
      <c r="E2" s="17">
        <f>D2*F2</f>
        <v>966</v>
      </c>
      <c r="F2" s="13">
        <v>42</v>
      </c>
      <c r="G2" s="24"/>
      <c r="H2" s="23">
        <f>G2*E2</f>
        <v>0</v>
      </c>
      <c r="I2" s="34" t="s">
        <v>11</v>
      </c>
      <c r="J2" s="34"/>
      <c r="K2" s="34"/>
      <c r="L2" s="34"/>
      <c r="M2" s="34"/>
      <c r="N2" s="34"/>
    </row>
    <row r="3" spans="1:14" x14ac:dyDescent="0.25">
      <c r="A3" s="18" t="s">
        <v>12</v>
      </c>
      <c r="B3" s="19" t="s">
        <v>13</v>
      </c>
      <c r="C3" s="20">
        <v>0</v>
      </c>
      <c r="D3" s="21">
        <v>18.399999999999999</v>
      </c>
      <c r="E3" s="17">
        <f t="shared" ref="E3:E44" si="0">D3*F3</f>
        <v>772.8</v>
      </c>
      <c r="F3" s="13">
        <v>42</v>
      </c>
      <c r="G3" s="24"/>
      <c r="H3" s="23">
        <f t="shared" ref="H3:H69" si="1">G3*E3</f>
        <v>0</v>
      </c>
      <c r="I3" s="35" t="s">
        <v>14</v>
      </c>
      <c r="J3" s="35"/>
      <c r="K3" s="36">
        <f>SUM(H2:H181)</f>
        <v>1993.53</v>
      </c>
      <c r="L3" s="36"/>
    </row>
    <row r="4" spans="1:14" x14ac:dyDescent="0.25">
      <c r="A4" s="18" t="s">
        <v>15</v>
      </c>
      <c r="B4" s="19" t="s">
        <v>16</v>
      </c>
      <c r="C4" s="20">
        <v>1</v>
      </c>
      <c r="D4" s="21">
        <v>45</v>
      </c>
      <c r="E4" s="17">
        <f t="shared" si="0"/>
        <v>1890</v>
      </c>
      <c r="F4" s="13">
        <v>42</v>
      </c>
      <c r="G4" s="24"/>
      <c r="H4" s="23">
        <f>G4*E4</f>
        <v>0</v>
      </c>
      <c r="I4" s="35"/>
      <c r="J4" s="35"/>
      <c r="K4" s="36"/>
      <c r="L4" s="36"/>
      <c r="M4" s="7" t="s">
        <v>17</v>
      </c>
    </row>
    <row r="5" spans="1:14" ht="15" customHeight="1" x14ac:dyDescent="0.25">
      <c r="A5" s="18" t="s">
        <v>18</v>
      </c>
      <c r="B5" s="19" t="s">
        <v>19</v>
      </c>
      <c r="C5" s="20">
        <v>0</v>
      </c>
      <c r="D5" s="21">
        <v>5.75</v>
      </c>
      <c r="E5" s="17">
        <f t="shared" si="0"/>
        <v>241.5</v>
      </c>
      <c r="F5" s="13">
        <v>42</v>
      </c>
      <c r="G5" s="24"/>
      <c r="H5" s="23">
        <f t="shared" si="1"/>
        <v>0</v>
      </c>
      <c r="I5" s="37" t="s">
        <v>20</v>
      </c>
      <c r="J5" s="37"/>
      <c r="K5" s="38" cm="1">
        <f t="array" ref="K5">SUM(E2:E181*C2:C181)-K3</f>
        <v>57765.75</v>
      </c>
      <c r="L5" s="38"/>
    </row>
    <row r="6" spans="1:14" ht="15" customHeight="1" x14ac:dyDescent="0.25">
      <c r="A6" s="18" t="s">
        <v>21</v>
      </c>
      <c r="B6" s="19"/>
      <c r="C6" s="20">
        <v>1</v>
      </c>
      <c r="D6" s="21">
        <v>6.8</v>
      </c>
      <c r="E6" s="17">
        <f t="shared" si="0"/>
        <v>285.59999999999997</v>
      </c>
      <c r="F6" s="13">
        <v>42</v>
      </c>
      <c r="G6" s="24"/>
      <c r="H6" s="23">
        <f t="shared" si="1"/>
        <v>0</v>
      </c>
      <c r="I6" s="37"/>
      <c r="J6" s="37"/>
      <c r="K6" s="38"/>
      <c r="L6" s="38"/>
      <c r="M6" s="9" t="s">
        <v>17</v>
      </c>
    </row>
    <row r="7" spans="1:14" ht="15" customHeight="1" x14ac:dyDescent="0.25">
      <c r="A7" s="18" t="s">
        <v>22</v>
      </c>
      <c r="B7" s="19" t="s">
        <v>23</v>
      </c>
      <c r="C7" s="20">
        <v>1</v>
      </c>
      <c r="D7" s="21">
        <v>6.8999999999999995</v>
      </c>
      <c r="E7" s="17">
        <f t="shared" si="0"/>
        <v>289.79999999999995</v>
      </c>
      <c r="F7" s="13">
        <v>42</v>
      </c>
      <c r="G7" s="24"/>
      <c r="H7" s="23">
        <f t="shared" si="1"/>
        <v>0</v>
      </c>
      <c r="I7" s="39" t="s">
        <v>24</v>
      </c>
      <c r="J7" s="39"/>
      <c r="K7" s="39"/>
      <c r="L7" s="39"/>
      <c r="M7" s="39"/>
    </row>
    <row r="8" spans="1:14" ht="15" customHeight="1" x14ac:dyDescent="0.25">
      <c r="A8" s="18" t="s">
        <v>25</v>
      </c>
      <c r="B8" s="19" t="s">
        <v>26</v>
      </c>
      <c r="C8" s="20">
        <v>1</v>
      </c>
      <c r="D8" s="21">
        <v>4.3699999999999992</v>
      </c>
      <c r="E8" s="17">
        <f t="shared" si="0"/>
        <v>183.53999999999996</v>
      </c>
      <c r="F8" s="13">
        <v>42</v>
      </c>
      <c r="G8" s="24"/>
      <c r="H8" s="23">
        <f t="shared" si="1"/>
        <v>0</v>
      </c>
      <c r="I8" s="39"/>
      <c r="J8" s="39"/>
      <c r="K8" s="39"/>
      <c r="L8" s="39"/>
      <c r="M8" s="39"/>
    </row>
    <row r="9" spans="1:14" x14ac:dyDescent="0.25">
      <c r="A9" s="18" t="s">
        <v>27</v>
      </c>
      <c r="B9" s="19" t="s">
        <v>28</v>
      </c>
      <c r="C9" s="20">
        <v>0</v>
      </c>
      <c r="D9" s="21">
        <v>4.3699999999999992</v>
      </c>
      <c r="E9" s="17">
        <f t="shared" si="0"/>
        <v>183.53999999999996</v>
      </c>
      <c r="F9" s="13">
        <v>42</v>
      </c>
      <c r="G9" s="24"/>
      <c r="H9" s="23">
        <f t="shared" si="1"/>
        <v>0</v>
      </c>
      <c r="I9" s="40" t="s">
        <v>29</v>
      </c>
      <c r="J9" s="40"/>
      <c r="K9" s="41" t="s">
        <v>30</v>
      </c>
      <c r="L9" s="41"/>
    </row>
    <row r="10" spans="1:14" x14ac:dyDescent="0.25">
      <c r="A10" s="18" t="s">
        <v>31</v>
      </c>
      <c r="B10" s="19" t="s">
        <v>32</v>
      </c>
      <c r="C10" s="20">
        <v>1</v>
      </c>
      <c r="D10" s="21">
        <v>9.1999999999999993</v>
      </c>
      <c r="E10" s="17">
        <f t="shared" si="0"/>
        <v>386.4</v>
      </c>
      <c r="F10" s="13">
        <v>42</v>
      </c>
      <c r="G10" s="24"/>
      <c r="H10" s="23">
        <f t="shared" si="1"/>
        <v>0</v>
      </c>
      <c r="I10" s="40"/>
      <c r="J10" s="40"/>
      <c r="K10" s="41"/>
      <c r="L10" s="41"/>
    </row>
    <row r="11" spans="1:14" x14ac:dyDescent="0.25">
      <c r="A11" s="18" t="s">
        <v>33</v>
      </c>
      <c r="B11" s="19" t="s">
        <v>34</v>
      </c>
      <c r="C11" s="20">
        <v>1</v>
      </c>
      <c r="D11" s="21">
        <v>8.9</v>
      </c>
      <c r="E11" s="17">
        <f t="shared" si="0"/>
        <v>373.8</v>
      </c>
      <c r="F11" s="13">
        <v>42</v>
      </c>
      <c r="G11" s="24"/>
      <c r="H11" s="23">
        <f t="shared" si="1"/>
        <v>0</v>
      </c>
      <c r="I11" s="42" t="s">
        <v>35</v>
      </c>
      <c r="J11" s="42"/>
      <c r="K11" s="43">
        <v>1619.57</v>
      </c>
      <c r="L11" s="43"/>
    </row>
    <row r="12" spans="1:14" x14ac:dyDescent="0.25">
      <c r="A12" s="18" t="s">
        <v>36</v>
      </c>
      <c r="B12" s="19" t="s">
        <v>37</v>
      </c>
      <c r="C12" s="20">
        <v>1</v>
      </c>
      <c r="D12" s="21">
        <v>30</v>
      </c>
      <c r="E12" s="17">
        <f t="shared" si="0"/>
        <v>1260</v>
      </c>
      <c r="F12" s="13">
        <v>42</v>
      </c>
      <c r="G12" s="24"/>
      <c r="H12" s="23">
        <f t="shared" si="1"/>
        <v>0</v>
      </c>
      <c r="I12" s="42" t="s">
        <v>38</v>
      </c>
      <c r="J12" s="42"/>
      <c r="K12" s="43">
        <v>930.32</v>
      </c>
      <c r="L12" s="43"/>
    </row>
    <row r="13" spans="1:14" x14ac:dyDescent="0.25">
      <c r="A13" s="18" t="s">
        <v>39</v>
      </c>
      <c r="B13" s="19" t="s">
        <v>40</v>
      </c>
      <c r="C13" s="20">
        <v>1</v>
      </c>
      <c r="D13" s="21">
        <v>13</v>
      </c>
      <c r="E13" s="17">
        <f t="shared" si="0"/>
        <v>546</v>
      </c>
      <c r="F13" s="13">
        <v>42</v>
      </c>
      <c r="G13" s="24"/>
      <c r="H13" s="23">
        <f t="shared" si="1"/>
        <v>0</v>
      </c>
      <c r="I13" s="42" t="s">
        <v>41</v>
      </c>
      <c r="J13" s="42"/>
      <c r="K13" s="43">
        <v>1077.1099999999999</v>
      </c>
      <c r="L13" s="43"/>
    </row>
    <row r="14" spans="1:14" x14ac:dyDescent="0.25">
      <c r="A14" s="18" t="s">
        <v>42</v>
      </c>
      <c r="B14" s="19" t="s">
        <v>43</v>
      </c>
      <c r="C14" s="20">
        <v>0</v>
      </c>
      <c r="D14" s="21">
        <v>8.0499999999999989</v>
      </c>
      <c r="E14" s="17">
        <f t="shared" si="0"/>
        <v>338.09999999999997</v>
      </c>
      <c r="F14" s="13">
        <v>42</v>
      </c>
      <c r="G14" s="24"/>
      <c r="H14" s="23">
        <f t="shared" si="1"/>
        <v>0</v>
      </c>
      <c r="I14" s="42" t="s">
        <v>44</v>
      </c>
      <c r="J14" s="42"/>
      <c r="K14" s="43">
        <v>3791.81</v>
      </c>
      <c r="L14" s="43"/>
    </row>
    <row r="15" spans="1:14" x14ac:dyDescent="0.25">
      <c r="A15" s="18" t="s">
        <v>45</v>
      </c>
      <c r="B15" s="19" t="s">
        <v>46</v>
      </c>
      <c r="C15" s="20">
        <v>1</v>
      </c>
      <c r="D15" s="21">
        <v>8.0499999999999989</v>
      </c>
      <c r="E15" s="17">
        <f t="shared" si="0"/>
        <v>338.09999999999997</v>
      </c>
      <c r="F15" s="13">
        <v>42</v>
      </c>
      <c r="G15" s="24"/>
      <c r="H15" s="23">
        <f t="shared" si="1"/>
        <v>0</v>
      </c>
      <c r="I15" s="42" t="s">
        <v>47</v>
      </c>
      <c r="J15" s="42"/>
      <c r="K15" s="43">
        <v>1366.71</v>
      </c>
      <c r="L15" s="43"/>
    </row>
    <row r="16" spans="1:14" x14ac:dyDescent="0.25">
      <c r="A16" s="18" t="s">
        <v>48</v>
      </c>
      <c r="B16" s="19" t="s">
        <v>49</v>
      </c>
      <c r="C16" s="20">
        <v>1</v>
      </c>
      <c r="D16" s="21">
        <v>11.5</v>
      </c>
      <c r="E16" s="17">
        <f t="shared" si="0"/>
        <v>483</v>
      </c>
      <c r="F16" s="13">
        <v>42</v>
      </c>
      <c r="G16" s="24"/>
      <c r="H16" s="23">
        <f t="shared" si="1"/>
        <v>0</v>
      </c>
      <c r="I16" s="42" t="s">
        <v>50</v>
      </c>
      <c r="J16" s="42"/>
      <c r="K16" s="43">
        <v>1406</v>
      </c>
      <c r="L16" s="43"/>
    </row>
    <row r="17" spans="1:12" x14ac:dyDescent="0.25">
      <c r="A17" s="18" t="s">
        <v>51</v>
      </c>
      <c r="B17" s="19" t="s">
        <v>52</v>
      </c>
      <c r="C17" s="20">
        <v>1</v>
      </c>
      <c r="D17" s="21">
        <v>13.799999999999999</v>
      </c>
      <c r="E17" s="17">
        <f t="shared" si="0"/>
        <v>579.59999999999991</v>
      </c>
      <c r="F17" s="13">
        <v>42</v>
      </c>
      <c r="G17" s="24"/>
      <c r="H17" s="23">
        <f t="shared" si="1"/>
        <v>0</v>
      </c>
      <c r="I17" s="42" t="s">
        <v>53</v>
      </c>
      <c r="J17" s="42"/>
      <c r="K17" s="43" t="s">
        <v>54</v>
      </c>
      <c r="L17" s="43"/>
    </row>
    <row r="18" spans="1:12" x14ac:dyDescent="0.25">
      <c r="A18" s="18" t="s">
        <v>55</v>
      </c>
      <c r="B18" s="19" t="s">
        <v>56</v>
      </c>
      <c r="C18" s="20">
        <v>1</v>
      </c>
      <c r="D18" s="21">
        <v>10</v>
      </c>
      <c r="E18" s="17">
        <f t="shared" si="0"/>
        <v>420</v>
      </c>
      <c r="F18" s="13">
        <v>42</v>
      </c>
      <c r="G18" s="24"/>
      <c r="H18" s="23">
        <f t="shared" si="1"/>
        <v>0</v>
      </c>
      <c r="I18" s="42" t="s">
        <v>57</v>
      </c>
      <c r="J18" s="42"/>
      <c r="K18" s="43" t="s">
        <v>58</v>
      </c>
      <c r="L18" s="43"/>
    </row>
    <row r="19" spans="1:12" x14ac:dyDescent="0.25">
      <c r="A19" s="18" t="s">
        <v>59</v>
      </c>
      <c r="B19" s="19" t="s">
        <v>60</v>
      </c>
      <c r="C19" s="20">
        <v>1</v>
      </c>
      <c r="D19" s="21">
        <v>13.799999999999999</v>
      </c>
      <c r="E19" s="17">
        <f t="shared" si="0"/>
        <v>579.59999999999991</v>
      </c>
      <c r="F19" s="13">
        <v>42</v>
      </c>
      <c r="G19" s="24"/>
      <c r="H19" s="23">
        <f t="shared" si="1"/>
        <v>0</v>
      </c>
      <c r="I19" s="42" t="s">
        <v>61</v>
      </c>
      <c r="J19" s="42"/>
      <c r="K19" s="43">
        <v>2539</v>
      </c>
      <c r="L19" s="43"/>
    </row>
    <row r="20" spans="1:12" x14ac:dyDescent="0.25">
      <c r="A20" s="18" t="s">
        <v>62</v>
      </c>
      <c r="B20" s="19" t="s">
        <v>63</v>
      </c>
      <c r="C20" s="20">
        <v>1</v>
      </c>
      <c r="D20" s="21">
        <v>14</v>
      </c>
      <c r="E20" s="17">
        <f t="shared" si="0"/>
        <v>588</v>
      </c>
      <c r="F20" s="13">
        <v>42</v>
      </c>
      <c r="G20" s="24"/>
      <c r="H20" s="23">
        <f t="shared" si="1"/>
        <v>0</v>
      </c>
      <c r="I20" s="42" t="s">
        <v>64</v>
      </c>
      <c r="J20" s="42"/>
      <c r="K20" s="43" t="s">
        <v>65</v>
      </c>
      <c r="L20" s="43"/>
    </row>
    <row r="21" spans="1:12" x14ac:dyDescent="0.25">
      <c r="A21" s="18" t="s">
        <v>66</v>
      </c>
      <c r="B21" s="19" t="s">
        <v>49</v>
      </c>
      <c r="C21" s="20">
        <v>1</v>
      </c>
      <c r="D21" s="21">
        <v>7</v>
      </c>
      <c r="E21" s="17">
        <f t="shared" si="0"/>
        <v>294</v>
      </c>
      <c r="F21" s="13">
        <v>42</v>
      </c>
      <c r="G21" s="24"/>
      <c r="H21" s="23">
        <f t="shared" si="1"/>
        <v>0</v>
      </c>
      <c r="I21" s="44">
        <v>45862</v>
      </c>
      <c r="J21" s="42"/>
      <c r="K21" s="43">
        <v>2888</v>
      </c>
      <c r="L21" s="43"/>
    </row>
    <row r="22" spans="1:12" ht="15.75" customHeight="1" x14ac:dyDescent="0.25">
      <c r="A22" s="18" t="s">
        <v>67</v>
      </c>
      <c r="B22" s="19" t="s">
        <v>40</v>
      </c>
      <c r="C22" s="20">
        <v>1</v>
      </c>
      <c r="D22" s="21">
        <v>12</v>
      </c>
      <c r="E22" s="17">
        <f t="shared" si="0"/>
        <v>504</v>
      </c>
      <c r="F22" s="13">
        <v>42</v>
      </c>
      <c r="G22" s="24"/>
      <c r="H22" s="23">
        <f t="shared" si="1"/>
        <v>0</v>
      </c>
      <c r="I22" s="44">
        <v>45922</v>
      </c>
      <c r="J22" s="42"/>
      <c r="K22" s="43">
        <v>2585.94</v>
      </c>
      <c r="L22" s="43"/>
    </row>
    <row r="23" spans="1:12" x14ac:dyDescent="0.25">
      <c r="A23" s="18" t="s">
        <v>68</v>
      </c>
      <c r="B23" s="19" t="s">
        <v>69</v>
      </c>
      <c r="C23" s="20">
        <v>8</v>
      </c>
      <c r="D23" s="21">
        <v>10.924999999999999</v>
      </c>
      <c r="E23" s="17">
        <f t="shared" si="0"/>
        <v>458.84999999999997</v>
      </c>
      <c r="F23" s="13">
        <v>42</v>
      </c>
      <c r="G23" s="24">
        <v>1</v>
      </c>
      <c r="H23" s="23">
        <f t="shared" si="1"/>
        <v>458.84999999999997</v>
      </c>
      <c r="I23" s="40"/>
      <c r="J23" s="40"/>
      <c r="K23" s="41"/>
      <c r="L23" s="41"/>
    </row>
    <row r="24" spans="1:12" x14ac:dyDescent="0.25">
      <c r="A24" s="18" t="s">
        <v>70</v>
      </c>
      <c r="B24" s="19" t="s">
        <v>71</v>
      </c>
      <c r="C24" s="20">
        <v>50</v>
      </c>
      <c r="D24" s="21">
        <v>11.5</v>
      </c>
      <c r="E24" s="17">
        <f t="shared" si="0"/>
        <v>483</v>
      </c>
      <c r="F24" s="13">
        <v>42</v>
      </c>
      <c r="G24" s="24"/>
      <c r="H24" s="23">
        <f t="shared" si="1"/>
        <v>0</v>
      </c>
      <c r="I24" s="40"/>
      <c r="J24" s="40"/>
      <c r="K24" s="41"/>
      <c r="L24" s="41"/>
    </row>
    <row r="25" spans="1:12" x14ac:dyDescent="0.25">
      <c r="A25" s="18" t="s">
        <v>72</v>
      </c>
      <c r="B25" s="19" t="s">
        <v>73</v>
      </c>
      <c r="C25" s="20">
        <v>2</v>
      </c>
      <c r="D25" s="21">
        <v>30.474999999999998</v>
      </c>
      <c r="E25" s="17">
        <f t="shared" si="0"/>
        <v>1279.9499999999998</v>
      </c>
      <c r="F25" s="13">
        <v>42</v>
      </c>
      <c r="G25" s="24"/>
      <c r="H25" s="23">
        <f t="shared" si="1"/>
        <v>0</v>
      </c>
      <c r="I25" s="40"/>
      <c r="J25" s="40"/>
      <c r="K25" s="41"/>
      <c r="L25" s="41"/>
    </row>
    <row r="26" spans="1:12" x14ac:dyDescent="0.25">
      <c r="A26" s="18" t="s">
        <v>74</v>
      </c>
      <c r="B26" s="19" t="s">
        <v>75</v>
      </c>
      <c r="C26" s="20">
        <v>0</v>
      </c>
      <c r="D26" s="21">
        <v>0.34499999999999997</v>
      </c>
      <c r="E26" s="17">
        <f t="shared" si="0"/>
        <v>14.489999999999998</v>
      </c>
      <c r="F26" s="13">
        <v>42</v>
      </c>
      <c r="G26" s="24"/>
      <c r="H26" s="23">
        <f t="shared" si="1"/>
        <v>0</v>
      </c>
      <c r="I26" s="40"/>
      <c r="J26" s="40"/>
      <c r="K26" s="41"/>
      <c r="L26" s="41"/>
    </row>
    <row r="27" spans="1:12" x14ac:dyDescent="0.25">
      <c r="A27" s="18" t="s">
        <v>76</v>
      </c>
      <c r="B27" s="19" t="s">
        <v>77</v>
      </c>
      <c r="C27" s="20">
        <v>10</v>
      </c>
      <c r="D27" s="21">
        <v>0.45999999999999996</v>
      </c>
      <c r="E27" s="17">
        <f t="shared" si="0"/>
        <v>19.32</v>
      </c>
      <c r="F27" s="13">
        <v>42</v>
      </c>
      <c r="G27" s="24"/>
      <c r="H27" s="23">
        <f t="shared" si="1"/>
        <v>0</v>
      </c>
      <c r="I27" s="40"/>
      <c r="J27" s="40"/>
      <c r="K27" s="41"/>
      <c r="L27" s="41"/>
    </row>
    <row r="28" spans="1:12" ht="15" customHeight="1" x14ac:dyDescent="0.25">
      <c r="A28" s="18" t="s">
        <v>78</v>
      </c>
      <c r="B28" s="16">
        <v>29088</v>
      </c>
      <c r="C28" s="20">
        <v>0</v>
      </c>
      <c r="D28" s="22">
        <v>1.68</v>
      </c>
      <c r="E28" s="17">
        <f t="shared" si="0"/>
        <v>70.56</v>
      </c>
      <c r="F28" s="13">
        <v>42</v>
      </c>
      <c r="G28" s="24"/>
      <c r="H28" s="23">
        <f t="shared" si="1"/>
        <v>0</v>
      </c>
    </row>
    <row r="29" spans="1:12" x14ac:dyDescent="0.25">
      <c r="A29" s="18" t="s">
        <v>79</v>
      </c>
      <c r="B29" s="16">
        <v>29089</v>
      </c>
      <c r="C29" s="20">
        <v>1</v>
      </c>
      <c r="D29" s="22">
        <v>2.94</v>
      </c>
      <c r="E29" s="17">
        <f t="shared" si="0"/>
        <v>123.48</v>
      </c>
      <c r="F29" s="13">
        <v>42</v>
      </c>
      <c r="G29" s="24"/>
      <c r="H29" s="23">
        <f t="shared" si="1"/>
        <v>0</v>
      </c>
    </row>
    <row r="30" spans="1:12" ht="15" customHeight="1" x14ac:dyDescent="0.3">
      <c r="A30" s="18" t="s">
        <v>80</v>
      </c>
      <c r="B30" s="16">
        <v>29090</v>
      </c>
      <c r="C30" s="20">
        <v>1</v>
      </c>
      <c r="D30" s="22">
        <v>2.38</v>
      </c>
      <c r="E30" s="17">
        <f t="shared" si="0"/>
        <v>99.96</v>
      </c>
      <c r="F30" s="13">
        <v>42</v>
      </c>
      <c r="G30" s="24"/>
      <c r="H30" s="23">
        <f t="shared" si="1"/>
        <v>0</v>
      </c>
      <c r="I30" s="10"/>
      <c r="J30" s="10"/>
      <c r="K30" s="11"/>
      <c r="L30" s="11"/>
    </row>
    <row r="31" spans="1:12" ht="15" customHeight="1" x14ac:dyDescent="0.3">
      <c r="A31" s="18" t="s">
        <v>81</v>
      </c>
      <c r="B31" s="16">
        <v>29091</v>
      </c>
      <c r="C31" s="20">
        <v>1</v>
      </c>
      <c r="D31" s="22">
        <v>31</v>
      </c>
      <c r="E31" s="17">
        <f t="shared" si="0"/>
        <v>1302</v>
      </c>
      <c r="F31" s="13">
        <v>42</v>
      </c>
      <c r="G31" s="24"/>
      <c r="H31" s="23">
        <f t="shared" si="1"/>
        <v>0</v>
      </c>
      <c r="I31" s="10"/>
      <c r="J31" s="10"/>
      <c r="K31" s="11"/>
      <c r="L31" s="11"/>
    </row>
    <row r="32" spans="1:12" x14ac:dyDescent="0.25">
      <c r="A32" s="18" t="s">
        <v>82</v>
      </c>
      <c r="B32" s="16">
        <v>20352</v>
      </c>
      <c r="C32" s="20">
        <v>0</v>
      </c>
      <c r="D32" s="22">
        <v>2.38</v>
      </c>
      <c r="E32" s="17">
        <f t="shared" si="0"/>
        <v>99.96</v>
      </c>
      <c r="F32" s="13">
        <v>42</v>
      </c>
      <c r="G32" s="24"/>
      <c r="H32" s="23">
        <f t="shared" si="1"/>
        <v>0</v>
      </c>
    </row>
    <row r="33" spans="1:12" x14ac:dyDescent="0.25">
      <c r="A33" s="18" t="s">
        <v>83</v>
      </c>
      <c r="B33" s="16">
        <v>16875</v>
      </c>
      <c r="C33" s="20">
        <v>1</v>
      </c>
      <c r="D33" s="22">
        <v>2.8</v>
      </c>
      <c r="E33" s="17">
        <f t="shared" si="0"/>
        <v>117.6</v>
      </c>
      <c r="F33" s="13">
        <v>42</v>
      </c>
      <c r="G33" s="24"/>
      <c r="H33" s="23">
        <f t="shared" si="1"/>
        <v>0</v>
      </c>
    </row>
    <row r="34" spans="1:12" x14ac:dyDescent="0.25">
      <c r="A34" s="18" t="s">
        <v>84</v>
      </c>
      <c r="B34" s="19" t="s">
        <v>85</v>
      </c>
      <c r="C34" s="20">
        <v>1</v>
      </c>
      <c r="D34" s="22">
        <v>6.5</v>
      </c>
      <c r="E34" s="17">
        <f t="shared" si="0"/>
        <v>273</v>
      </c>
      <c r="F34" s="13">
        <v>42</v>
      </c>
      <c r="G34" s="24"/>
      <c r="H34" s="23">
        <f t="shared" si="1"/>
        <v>0</v>
      </c>
    </row>
    <row r="35" spans="1:12" x14ac:dyDescent="0.25">
      <c r="A35" s="15" t="s">
        <v>86</v>
      </c>
      <c r="B35" s="19" t="s">
        <v>87</v>
      </c>
      <c r="C35" s="12">
        <v>1</v>
      </c>
      <c r="D35" s="14">
        <v>7</v>
      </c>
      <c r="E35" s="17">
        <f t="shared" si="0"/>
        <v>294</v>
      </c>
      <c r="F35" s="13">
        <v>42</v>
      </c>
      <c r="G35" s="24"/>
      <c r="H35" s="23">
        <f t="shared" si="1"/>
        <v>0</v>
      </c>
    </row>
    <row r="36" spans="1:12" ht="15" customHeight="1" x14ac:dyDescent="0.3">
      <c r="A36" s="15" t="s">
        <v>88</v>
      </c>
      <c r="B36" s="16">
        <v>15631</v>
      </c>
      <c r="C36" s="12">
        <v>1</v>
      </c>
      <c r="D36" s="14">
        <v>1.68</v>
      </c>
      <c r="E36" s="17">
        <f t="shared" si="0"/>
        <v>70.56</v>
      </c>
      <c r="F36" s="13">
        <v>42</v>
      </c>
      <c r="G36" s="24"/>
      <c r="H36" s="23">
        <f t="shared" si="1"/>
        <v>0</v>
      </c>
      <c r="I36" s="10"/>
      <c r="J36" s="10"/>
      <c r="K36" s="11"/>
      <c r="L36" s="11"/>
    </row>
    <row r="37" spans="1:12" ht="15" customHeight="1" x14ac:dyDescent="0.3">
      <c r="A37" s="15" t="s">
        <v>89</v>
      </c>
      <c r="B37" s="19" t="s">
        <v>90</v>
      </c>
      <c r="C37" s="12">
        <v>1</v>
      </c>
      <c r="D37" s="14">
        <v>22</v>
      </c>
      <c r="E37" s="17">
        <f t="shared" si="0"/>
        <v>924</v>
      </c>
      <c r="F37" s="13">
        <v>42</v>
      </c>
      <c r="G37" s="24"/>
      <c r="H37" s="23">
        <f t="shared" si="1"/>
        <v>0</v>
      </c>
      <c r="I37" s="10"/>
      <c r="J37" s="10"/>
      <c r="K37" s="11"/>
      <c r="L37" s="11"/>
    </row>
    <row r="38" spans="1:12" x14ac:dyDescent="0.25">
      <c r="A38" s="25" t="s">
        <v>91</v>
      </c>
      <c r="B38" s="26">
        <v>6716106665</v>
      </c>
      <c r="C38" s="12">
        <v>1</v>
      </c>
      <c r="D38" s="14">
        <v>9</v>
      </c>
      <c r="E38" s="17">
        <f t="shared" si="0"/>
        <v>378</v>
      </c>
      <c r="F38" s="13">
        <v>42</v>
      </c>
      <c r="G38" s="24"/>
      <c r="H38" s="23">
        <f t="shared" si="1"/>
        <v>0</v>
      </c>
    </row>
    <row r="39" spans="1:12" x14ac:dyDescent="0.25">
      <c r="A39" s="25" t="s">
        <v>92</v>
      </c>
      <c r="B39" s="27">
        <v>6896581918</v>
      </c>
      <c r="C39" s="12">
        <v>0</v>
      </c>
      <c r="D39" s="14">
        <v>8</v>
      </c>
      <c r="E39" s="17">
        <f t="shared" si="0"/>
        <v>336</v>
      </c>
      <c r="F39" s="13">
        <v>42</v>
      </c>
      <c r="G39" s="24"/>
      <c r="H39" s="23">
        <f t="shared" si="1"/>
        <v>0</v>
      </c>
    </row>
    <row r="40" spans="1:12" x14ac:dyDescent="0.25">
      <c r="A40" s="15" t="s">
        <v>93</v>
      </c>
      <c r="B40" s="16">
        <v>26062</v>
      </c>
      <c r="C40" s="12">
        <v>1</v>
      </c>
      <c r="D40" s="14">
        <v>2.38</v>
      </c>
      <c r="E40" s="17">
        <f t="shared" si="0"/>
        <v>99.96</v>
      </c>
      <c r="F40" s="13">
        <v>42</v>
      </c>
      <c r="G40" s="24"/>
      <c r="H40" s="23">
        <f t="shared" si="1"/>
        <v>0</v>
      </c>
    </row>
    <row r="41" spans="1:12" x14ac:dyDescent="0.25">
      <c r="A41" s="15" t="s">
        <v>94</v>
      </c>
      <c r="B41" s="16">
        <v>15632</v>
      </c>
      <c r="C41" s="12">
        <v>1</v>
      </c>
      <c r="D41" s="14">
        <v>6</v>
      </c>
      <c r="E41" s="17">
        <f t="shared" si="0"/>
        <v>252</v>
      </c>
      <c r="F41" s="13">
        <v>42</v>
      </c>
      <c r="G41" s="24"/>
      <c r="H41" s="23">
        <f t="shared" si="1"/>
        <v>0</v>
      </c>
    </row>
    <row r="42" spans="1:12" x14ac:dyDescent="0.25">
      <c r="A42" s="15" t="s">
        <v>95</v>
      </c>
      <c r="B42" s="19" t="s">
        <v>96</v>
      </c>
      <c r="C42" s="12">
        <v>1</v>
      </c>
      <c r="D42" s="14">
        <v>4.4000000000000004</v>
      </c>
      <c r="E42" s="17">
        <f t="shared" si="0"/>
        <v>184.8</v>
      </c>
      <c r="F42" s="13">
        <v>42</v>
      </c>
      <c r="G42" s="24"/>
      <c r="H42" s="23">
        <f>G42*E42</f>
        <v>0</v>
      </c>
    </row>
    <row r="43" spans="1:12" x14ac:dyDescent="0.25">
      <c r="A43" s="15" t="s">
        <v>97</v>
      </c>
      <c r="B43" s="16">
        <v>10520</v>
      </c>
      <c r="C43" s="12">
        <v>0</v>
      </c>
      <c r="D43" s="14">
        <v>2.2399999999999998</v>
      </c>
      <c r="E43" s="17">
        <f t="shared" si="0"/>
        <v>94.079999999999984</v>
      </c>
      <c r="F43" s="13">
        <v>42</v>
      </c>
      <c r="G43" s="24"/>
      <c r="H43" s="23">
        <f t="shared" si="1"/>
        <v>0</v>
      </c>
    </row>
    <row r="44" spans="1:12" x14ac:dyDescent="0.25">
      <c r="A44" s="15" t="s">
        <v>98</v>
      </c>
      <c r="B44" s="16">
        <v>5202</v>
      </c>
      <c r="C44" s="12">
        <v>1</v>
      </c>
      <c r="D44" s="14">
        <v>3</v>
      </c>
      <c r="E44" s="17">
        <f t="shared" si="0"/>
        <v>126</v>
      </c>
      <c r="F44" s="13">
        <v>42</v>
      </c>
      <c r="G44" s="24"/>
      <c r="H44" s="23">
        <f t="shared" si="1"/>
        <v>0</v>
      </c>
    </row>
    <row r="45" spans="1:12" x14ac:dyDescent="0.25">
      <c r="A45" s="15" t="s">
        <v>99</v>
      </c>
      <c r="B45" s="16">
        <v>28828</v>
      </c>
      <c r="C45" s="12">
        <v>1</v>
      </c>
      <c r="D45" s="14">
        <v>2.2399999999999998</v>
      </c>
      <c r="E45" s="17">
        <f>D45*F45</f>
        <v>94.079999999999984</v>
      </c>
      <c r="F45" s="13">
        <v>42</v>
      </c>
      <c r="G45" s="24">
        <v>1</v>
      </c>
      <c r="H45" s="23">
        <f t="shared" si="1"/>
        <v>94.079999999999984</v>
      </c>
    </row>
    <row r="46" spans="1:12" x14ac:dyDescent="0.25">
      <c r="A46" s="15" t="s">
        <v>100</v>
      </c>
      <c r="B46" s="16">
        <v>30210</v>
      </c>
      <c r="C46" s="12">
        <v>1</v>
      </c>
      <c r="D46" s="14">
        <v>22.1</v>
      </c>
      <c r="E46" s="17">
        <f t="shared" ref="E46:E59" si="2">D46*F46</f>
        <v>928.2</v>
      </c>
      <c r="F46" s="13">
        <v>42</v>
      </c>
      <c r="G46" s="24"/>
      <c r="H46" s="23">
        <f>G46*E46</f>
        <v>0</v>
      </c>
    </row>
    <row r="47" spans="1:12" x14ac:dyDescent="0.25">
      <c r="A47" s="15" t="s">
        <v>101</v>
      </c>
      <c r="B47" s="16">
        <v>32870</v>
      </c>
      <c r="C47" s="12">
        <v>1</v>
      </c>
      <c r="D47" s="14">
        <v>27</v>
      </c>
      <c r="E47" s="17">
        <f t="shared" si="2"/>
        <v>1134</v>
      </c>
      <c r="F47" s="13">
        <v>42</v>
      </c>
      <c r="G47" s="24"/>
      <c r="H47" s="23">
        <f t="shared" si="1"/>
        <v>0</v>
      </c>
    </row>
    <row r="48" spans="1:12" x14ac:dyDescent="0.25">
      <c r="A48" s="15" t="s">
        <v>102</v>
      </c>
      <c r="B48" s="16">
        <v>35530</v>
      </c>
      <c r="C48" s="12">
        <v>1</v>
      </c>
      <c r="D48" s="14">
        <v>18.850000000000001</v>
      </c>
      <c r="E48" s="17">
        <f t="shared" si="2"/>
        <v>791.7</v>
      </c>
      <c r="F48" s="13">
        <v>42</v>
      </c>
      <c r="G48" s="24"/>
      <c r="H48" s="23">
        <f t="shared" si="1"/>
        <v>0</v>
      </c>
    </row>
    <row r="49" spans="1:8" x14ac:dyDescent="0.25">
      <c r="A49" s="15" t="s">
        <v>103</v>
      </c>
      <c r="B49" s="16">
        <v>38190</v>
      </c>
      <c r="C49" s="12">
        <v>0</v>
      </c>
      <c r="D49" s="14">
        <v>16.900000000000002</v>
      </c>
      <c r="E49" s="17">
        <f t="shared" si="2"/>
        <v>709.80000000000007</v>
      </c>
      <c r="F49" s="13">
        <v>42</v>
      </c>
      <c r="G49" s="24"/>
      <c r="H49" s="23">
        <f t="shared" si="1"/>
        <v>0</v>
      </c>
    </row>
    <row r="50" spans="1:8" x14ac:dyDescent="0.25">
      <c r="A50" s="15" t="s">
        <v>104</v>
      </c>
      <c r="B50" s="16">
        <v>40850</v>
      </c>
      <c r="C50" s="12">
        <v>1</v>
      </c>
      <c r="D50" s="14">
        <v>4</v>
      </c>
      <c r="E50" s="17">
        <f t="shared" si="2"/>
        <v>168</v>
      </c>
      <c r="F50" s="13">
        <v>42</v>
      </c>
      <c r="G50" s="24">
        <v>1</v>
      </c>
      <c r="H50" s="23">
        <f t="shared" si="1"/>
        <v>168</v>
      </c>
    </row>
    <row r="51" spans="1:8" x14ac:dyDescent="0.25">
      <c r="A51" s="15" t="s">
        <v>105</v>
      </c>
      <c r="B51" s="16">
        <v>43511</v>
      </c>
      <c r="C51" s="12">
        <v>2</v>
      </c>
      <c r="D51" s="14">
        <v>11.05</v>
      </c>
      <c r="E51" s="17">
        <f t="shared" si="2"/>
        <v>464.1</v>
      </c>
      <c r="F51" s="13">
        <v>42</v>
      </c>
      <c r="G51" s="24"/>
      <c r="H51" s="23">
        <f t="shared" si="1"/>
        <v>0</v>
      </c>
    </row>
    <row r="52" spans="1:8" x14ac:dyDescent="0.25">
      <c r="A52" s="15" t="s">
        <v>106</v>
      </c>
      <c r="B52" s="16">
        <v>46171</v>
      </c>
      <c r="C52" s="12">
        <v>0</v>
      </c>
      <c r="D52" s="14">
        <v>31.200000000000003</v>
      </c>
      <c r="E52" s="17">
        <f t="shared" si="2"/>
        <v>1310.4000000000001</v>
      </c>
      <c r="F52" s="13">
        <v>42</v>
      </c>
      <c r="G52" s="24"/>
      <c r="H52" s="23">
        <f t="shared" si="1"/>
        <v>0</v>
      </c>
    </row>
    <row r="53" spans="1:8" x14ac:dyDescent="0.25">
      <c r="A53" s="15" t="s">
        <v>107</v>
      </c>
      <c r="B53" s="16">
        <v>48831</v>
      </c>
      <c r="C53" s="12">
        <v>0</v>
      </c>
      <c r="D53" s="14">
        <v>24.05</v>
      </c>
      <c r="E53" s="17">
        <f t="shared" si="2"/>
        <v>1010.1</v>
      </c>
      <c r="F53" s="13">
        <v>42</v>
      </c>
      <c r="G53" s="24"/>
      <c r="H53" s="23">
        <f t="shared" si="1"/>
        <v>0</v>
      </c>
    </row>
    <row r="54" spans="1:8" x14ac:dyDescent="0.25">
      <c r="A54" s="15" t="s">
        <v>108</v>
      </c>
      <c r="B54" s="16">
        <v>51491</v>
      </c>
      <c r="C54" s="12">
        <v>0</v>
      </c>
      <c r="D54" s="14">
        <v>32.5</v>
      </c>
      <c r="E54" s="17">
        <f t="shared" si="2"/>
        <v>1365</v>
      </c>
      <c r="F54" s="13">
        <v>42</v>
      </c>
      <c r="G54" s="24"/>
      <c r="H54" s="23">
        <f t="shared" si="1"/>
        <v>0</v>
      </c>
    </row>
    <row r="55" spans="1:8" x14ac:dyDescent="0.25">
      <c r="A55" s="15" t="s">
        <v>109</v>
      </c>
      <c r="B55" s="16">
        <v>54151</v>
      </c>
      <c r="C55" s="12">
        <v>1</v>
      </c>
      <c r="D55" s="14">
        <v>8.5</v>
      </c>
      <c r="E55" s="17">
        <f t="shared" si="2"/>
        <v>357</v>
      </c>
      <c r="F55" s="13">
        <v>42</v>
      </c>
      <c r="G55" s="24"/>
      <c r="H55" s="23">
        <f t="shared" si="1"/>
        <v>0</v>
      </c>
    </row>
    <row r="56" spans="1:8" x14ac:dyDescent="0.25">
      <c r="A56" s="15" t="s">
        <v>110</v>
      </c>
      <c r="B56" s="16">
        <v>56811</v>
      </c>
      <c r="C56" s="12">
        <v>0</v>
      </c>
      <c r="D56" s="14">
        <v>8</v>
      </c>
      <c r="E56" s="17">
        <f t="shared" si="2"/>
        <v>336</v>
      </c>
      <c r="F56" s="13">
        <v>42</v>
      </c>
      <c r="G56" s="24"/>
      <c r="H56" s="23">
        <f t="shared" si="1"/>
        <v>0</v>
      </c>
    </row>
    <row r="57" spans="1:8" x14ac:dyDescent="0.25">
      <c r="A57" s="15" t="s">
        <v>111</v>
      </c>
      <c r="B57" s="16">
        <v>59472</v>
      </c>
      <c r="C57" s="12">
        <v>1</v>
      </c>
      <c r="D57" s="14">
        <v>31.200000000000003</v>
      </c>
      <c r="E57" s="17">
        <f t="shared" si="2"/>
        <v>1310.4000000000001</v>
      </c>
      <c r="F57" s="13">
        <v>42</v>
      </c>
      <c r="G57" s="24"/>
      <c r="H57" s="23">
        <f t="shared" si="1"/>
        <v>0</v>
      </c>
    </row>
    <row r="58" spans="1:8" x14ac:dyDescent="0.25">
      <c r="A58" s="15" t="s">
        <v>112</v>
      </c>
      <c r="B58" s="16">
        <v>62132</v>
      </c>
      <c r="C58" s="12">
        <v>0</v>
      </c>
      <c r="D58" s="14">
        <v>9.1</v>
      </c>
      <c r="E58" s="17">
        <f t="shared" si="2"/>
        <v>382.2</v>
      </c>
      <c r="F58" s="13">
        <v>42</v>
      </c>
      <c r="G58" s="24"/>
      <c r="H58" s="23">
        <f t="shared" si="1"/>
        <v>0</v>
      </c>
    </row>
    <row r="59" spans="1:8" x14ac:dyDescent="0.25">
      <c r="A59" s="15" t="s">
        <v>113</v>
      </c>
      <c r="B59" s="16">
        <v>67452</v>
      </c>
      <c r="C59" s="12">
        <v>1</v>
      </c>
      <c r="D59" s="14">
        <v>11.700000000000001</v>
      </c>
      <c r="E59" s="17">
        <f t="shared" si="2"/>
        <v>491.40000000000003</v>
      </c>
      <c r="F59" s="13">
        <v>42</v>
      </c>
      <c r="G59" s="24"/>
      <c r="H59" s="23">
        <f t="shared" si="1"/>
        <v>0</v>
      </c>
    </row>
    <row r="60" spans="1:8" x14ac:dyDescent="0.25">
      <c r="A60" s="15" t="s">
        <v>114</v>
      </c>
      <c r="B60" s="16">
        <v>70113</v>
      </c>
      <c r="C60" s="12">
        <v>1</v>
      </c>
      <c r="D60" s="14">
        <v>24.7</v>
      </c>
      <c r="E60" s="17">
        <f>D60*F60</f>
        <v>1037.3999999999999</v>
      </c>
      <c r="F60" s="13">
        <v>42</v>
      </c>
      <c r="G60" s="24"/>
      <c r="H60" s="23">
        <f t="shared" si="1"/>
        <v>0</v>
      </c>
    </row>
    <row r="61" spans="1:8" ht="15" customHeight="1" x14ac:dyDescent="0.25">
      <c r="A61" s="15" t="s">
        <v>115</v>
      </c>
      <c r="B61" s="16">
        <v>653563137</v>
      </c>
      <c r="C61" s="12">
        <v>1</v>
      </c>
      <c r="D61" s="14">
        <v>5</v>
      </c>
      <c r="E61" s="17">
        <f>D61*F61</f>
        <v>210</v>
      </c>
      <c r="F61" s="13">
        <v>42</v>
      </c>
      <c r="G61" s="24"/>
      <c r="H61" s="23">
        <f t="shared" si="1"/>
        <v>0</v>
      </c>
    </row>
    <row r="62" spans="1:8" x14ac:dyDescent="0.25">
      <c r="A62" s="15" t="s">
        <v>116</v>
      </c>
      <c r="B62" s="16">
        <v>6355156158</v>
      </c>
      <c r="C62" s="12">
        <v>1</v>
      </c>
      <c r="D62" s="14">
        <v>6</v>
      </c>
      <c r="E62" s="17">
        <f t="shared" ref="E62:E67" si="3">D62*F62</f>
        <v>252</v>
      </c>
      <c r="F62" s="13">
        <v>42</v>
      </c>
      <c r="G62" s="24">
        <v>1</v>
      </c>
      <c r="H62" s="23">
        <f t="shared" si="1"/>
        <v>252</v>
      </c>
    </row>
    <row r="63" spans="1:8" x14ac:dyDescent="0.25">
      <c r="A63" s="15" t="s">
        <v>117</v>
      </c>
      <c r="B63" s="16">
        <v>41234</v>
      </c>
      <c r="C63" s="12">
        <v>0</v>
      </c>
      <c r="D63" s="14">
        <v>3.9</v>
      </c>
      <c r="E63" s="17">
        <f t="shared" si="3"/>
        <v>163.79999999999998</v>
      </c>
      <c r="F63" s="13">
        <v>42</v>
      </c>
      <c r="G63" s="24"/>
      <c r="H63" s="23">
        <f t="shared" si="1"/>
        <v>0</v>
      </c>
    </row>
    <row r="64" spans="1:8" x14ac:dyDescent="0.25">
      <c r="A64" s="15" t="s">
        <v>118</v>
      </c>
      <c r="B64" s="16">
        <v>653562869</v>
      </c>
      <c r="C64" s="12">
        <v>1</v>
      </c>
      <c r="D64" s="14">
        <v>6</v>
      </c>
      <c r="E64" s="17">
        <f t="shared" si="3"/>
        <v>252</v>
      </c>
      <c r="F64" s="13">
        <v>42</v>
      </c>
      <c r="G64" s="24"/>
      <c r="H64" s="23">
        <f t="shared" si="1"/>
        <v>0</v>
      </c>
    </row>
    <row r="65" spans="1:13" x14ac:dyDescent="0.25">
      <c r="A65" s="15" t="s">
        <v>119</v>
      </c>
      <c r="B65" s="16">
        <v>63452</v>
      </c>
      <c r="C65" s="12">
        <v>20</v>
      </c>
      <c r="D65" s="14">
        <v>0.65</v>
      </c>
      <c r="E65" s="17">
        <f t="shared" si="3"/>
        <v>27.3</v>
      </c>
      <c r="F65" s="13">
        <v>42</v>
      </c>
      <c r="G65" s="24"/>
      <c r="H65" s="23">
        <f t="shared" si="1"/>
        <v>0</v>
      </c>
    </row>
    <row r="66" spans="1:13" x14ac:dyDescent="0.25">
      <c r="A66" s="15" t="s">
        <v>120</v>
      </c>
      <c r="B66" s="16">
        <v>32542</v>
      </c>
      <c r="C66" s="12">
        <v>6</v>
      </c>
      <c r="D66" s="14">
        <v>3.9</v>
      </c>
      <c r="E66" s="17">
        <f t="shared" si="3"/>
        <v>163.79999999999998</v>
      </c>
      <c r="F66" s="13">
        <v>42</v>
      </c>
      <c r="G66" s="24">
        <v>2</v>
      </c>
      <c r="H66" s="23">
        <f t="shared" si="1"/>
        <v>327.59999999999997</v>
      </c>
    </row>
    <row r="67" spans="1:13" s="24" customFormat="1" x14ac:dyDescent="0.25">
      <c r="A67" s="15" t="s">
        <v>121</v>
      </c>
      <c r="B67" s="16">
        <v>32543</v>
      </c>
      <c r="C67" s="12">
        <v>6</v>
      </c>
      <c r="D67" s="14">
        <v>5.5</v>
      </c>
      <c r="E67" s="17">
        <f t="shared" si="3"/>
        <v>231</v>
      </c>
      <c r="F67" s="13">
        <v>42</v>
      </c>
      <c r="G67" s="24">
        <v>1</v>
      </c>
      <c r="H67" s="23">
        <f t="shared" si="1"/>
        <v>231</v>
      </c>
      <c r="I67" s="23"/>
      <c r="J67" s="23"/>
      <c r="K67" s="23"/>
      <c r="L67" s="23"/>
      <c r="M67" s="23"/>
    </row>
    <row r="68" spans="1:13" x14ac:dyDescent="0.25">
      <c r="A68" s="15" t="s">
        <v>122</v>
      </c>
      <c r="B68" s="16">
        <v>78956</v>
      </c>
      <c r="C68" s="12">
        <v>2</v>
      </c>
      <c r="D68" s="14">
        <v>6.5</v>
      </c>
      <c r="E68" s="17">
        <f>D68*F68</f>
        <v>273</v>
      </c>
      <c r="F68" s="13">
        <v>42</v>
      </c>
      <c r="G68" s="24">
        <v>1</v>
      </c>
      <c r="H68" s="23">
        <f t="shared" si="1"/>
        <v>273</v>
      </c>
    </row>
    <row r="69" spans="1:13" x14ac:dyDescent="0.25">
      <c r="A69" s="15" t="s">
        <v>123</v>
      </c>
      <c r="B69" s="16">
        <v>35423432</v>
      </c>
      <c r="C69" s="12">
        <v>0</v>
      </c>
      <c r="D69" s="14">
        <v>18.2</v>
      </c>
      <c r="E69" s="17">
        <f t="shared" ref="E69:E132" si="4">D69*F69</f>
        <v>764.4</v>
      </c>
      <c r="F69" s="13">
        <v>42</v>
      </c>
      <c r="G69" s="24"/>
      <c r="H69" s="23">
        <f t="shared" si="1"/>
        <v>0</v>
      </c>
    </row>
    <row r="70" spans="1:13" x14ac:dyDescent="0.25">
      <c r="A70" s="15" t="s">
        <v>124</v>
      </c>
      <c r="B70" s="16">
        <v>6355156153</v>
      </c>
      <c r="C70" s="12">
        <v>1</v>
      </c>
      <c r="D70" s="14">
        <v>4.2</v>
      </c>
      <c r="E70" s="17">
        <f t="shared" si="4"/>
        <v>176.4</v>
      </c>
      <c r="F70" s="13">
        <v>42</v>
      </c>
      <c r="G70" s="24"/>
      <c r="H70" s="23">
        <f t="shared" ref="H70:H133" si="5">G70*E70</f>
        <v>0</v>
      </c>
    </row>
    <row r="71" spans="1:13" x14ac:dyDescent="0.25">
      <c r="A71" s="15" t="s">
        <v>125</v>
      </c>
      <c r="B71" s="16">
        <v>653562593</v>
      </c>
      <c r="C71" s="12">
        <v>1</v>
      </c>
      <c r="D71" s="14">
        <v>2.5</v>
      </c>
      <c r="E71" s="17">
        <f t="shared" si="4"/>
        <v>105</v>
      </c>
      <c r="F71" s="13">
        <v>42</v>
      </c>
      <c r="G71" s="24"/>
      <c r="H71" s="23">
        <f t="shared" si="5"/>
        <v>0</v>
      </c>
    </row>
    <row r="72" spans="1:13" x14ac:dyDescent="0.25">
      <c r="A72" s="15" t="s">
        <v>126</v>
      </c>
      <c r="B72" s="16">
        <v>15314513</v>
      </c>
      <c r="C72" s="12">
        <v>0</v>
      </c>
      <c r="D72" s="14">
        <v>130</v>
      </c>
      <c r="E72" s="17">
        <f t="shared" si="4"/>
        <v>5460</v>
      </c>
      <c r="F72" s="13">
        <v>42</v>
      </c>
      <c r="G72" s="24"/>
      <c r="H72" s="23">
        <f t="shared" si="5"/>
        <v>0</v>
      </c>
    </row>
    <row r="73" spans="1:13" x14ac:dyDescent="0.25">
      <c r="A73" s="15" t="s">
        <v>127</v>
      </c>
      <c r="B73" s="16">
        <v>65856756</v>
      </c>
      <c r="C73" s="12">
        <v>1</v>
      </c>
      <c r="D73" s="14">
        <v>11.700000000000001</v>
      </c>
      <c r="E73" s="17">
        <f t="shared" si="4"/>
        <v>491.40000000000003</v>
      </c>
      <c r="F73" s="13">
        <v>42</v>
      </c>
      <c r="G73" s="24"/>
      <c r="H73" s="23">
        <f t="shared" si="5"/>
        <v>0</v>
      </c>
    </row>
    <row r="74" spans="1:13" x14ac:dyDescent="0.25">
      <c r="A74" s="15" t="s">
        <v>128</v>
      </c>
      <c r="B74" s="16">
        <v>653563145</v>
      </c>
      <c r="C74" s="12">
        <v>1</v>
      </c>
      <c r="D74" s="14">
        <v>2.5</v>
      </c>
      <c r="E74" s="17">
        <f t="shared" si="4"/>
        <v>105</v>
      </c>
      <c r="F74" s="13">
        <v>42</v>
      </c>
      <c r="G74" s="24"/>
      <c r="H74" s="23">
        <f t="shared" si="5"/>
        <v>0</v>
      </c>
    </row>
    <row r="75" spans="1:13" x14ac:dyDescent="0.25">
      <c r="A75" s="15" t="s">
        <v>129</v>
      </c>
      <c r="B75" s="16">
        <v>35673673</v>
      </c>
      <c r="C75" s="12">
        <v>1</v>
      </c>
      <c r="D75" s="14">
        <v>13</v>
      </c>
      <c r="E75" s="17">
        <f t="shared" si="4"/>
        <v>546</v>
      </c>
      <c r="F75" s="13">
        <v>42</v>
      </c>
      <c r="G75" s="24"/>
      <c r="H75" s="23">
        <f t="shared" si="5"/>
        <v>0</v>
      </c>
    </row>
    <row r="76" spans="1:13" x14ac:dyDescent="0.25">
      <c r="A76" s="15" t="s">
        <v>130</v>
      </c>
      <c r="B76" s="16">
        <v>24667526</v>
      </c>
      <c r="C76" s="12">
        <v>1</v>
      </c>
      <c r="D76" s="14">
        <v>14.3</v>
      </c>
      <c r="E76" s="17">
        <f t="shared" si="4"/>
        <v>600.6</v>
      </c>
      <c r="F76" s="13">
        <v>42</v>
      </c>
      <c r="G76" s="24"/>
      <c r="H76" s="23">
        <f t="shared" si="5"/>
        <v>0</v>
      </c>
    </row>
    <row r="77" spans="1:13" x14ac:dyDescent="0.25">
      <c r="A77" s="15" t="s">
        <v>131</v>
      </c>
      <c r="B77" s="16">
        <v>23657342</v>
      </c>
      <c r="C77" s="12">
        <v>2</v>
      </c>
      <c r="D77" s="14">
        <v>3.32</v>
      </c>
      <c r="E77" s="17">
        <f t="shared" si="4"/>
        <v>139.44</v>
      </c>
      <c r="F77" s="13">
        <v>42</v>
      </c>
      <c r="G77" s="24"/>
      <c r="H77" s="23">
        <f t="shared" si="5"/>
        <v>0</v>
      </c>
    </row>
    <row r="78" spans="1:13" x14ac:dyDescent="0.25">
      <c r="A78" s="15" t="s">
        <v>132</v>
      </c>
      <c r="B78" s="16">
        <v>13452436</v>
      </c>
      <c r="C78" s="12">
        <v>1</v>
      </c>
      <c r="D78" s="14">
        <v>2.8600000000000003</v>
      </c>
      <c r="E78" s="17">
        <f t="shared" si="4"/>
        <v>120.12000000000002</v>
      </c>
      <c r="F78" s="13">
        <v>42</v>
      </c>
      <c r="G78" s="24"/>
      <c r="H78" s="23">
        <f t="shared" si="5"/>
        <v>0</v>
      </c>
    </row>
    <row r="79" spans="1:13" x14ac:dyDescent="0.25">
      <c r="A79" s="15" t="s">
        <v>133</v>
      </c>
      <c r="B79" s="16">
        <v>7077057171</v>
      </c>
      <c r="C79" s="12">
        <v>0</v>
      </c>
      <c r="D79" s="14">
        <v>7</v>
      </c>
      <c r="E79" s="17">
        <f t="shared" si="4"/>
        <v>294</v>
      </c>
      <c r="F79" s="13">
        <v>42</v>
      </c>
      <c r="G79" s="24"/>
      <c r="H79" s="23">
        <f t="shared" si="5"/>
        <v>0</v>
      </c>
    </row>
    <row r="80" spans="1:13" x14ac:dyDescent="0.25">
      <c r="A80" s="15" t="s">
        <v>134</v>
      </c>
      <c r="B80" s="16">
        <v>53425345</v>
      </c>
      <c r="C80" s="12">
        <v>2</v>
      </c>
      <c r="D80" s="14">
        <v>1.5</v>
      </c>
      <c r="E80" s="17">
        <f t="shared" si="4"/>
        <v>63</v>
      </c>
      <c r="F80" s="14">
        <v>42</v>
      </c>
      <c r="G80" s="24">
        <v>1</v>
      </c>
      <c r="H80" s="23">
        <f t="shared" si="5"/>
        <v>63</v>
      </c>
    </row>
    <row r="81" spans="1:8" x14ac:dyDescent="0.25">
      <c r="A81" s="15" t="s">
        <v>135</v>
      </c>
      <c r="B81" s="16">
        <v>62463245</v>
      </c>
      <c r="C81" s="12">
        <v>5</v>
      </c>
      <c r="D81" s="14">
        <v>3</v>
      </c>
      <c r="E81" s="17">
        <f t="shared" si="4"/>
        <v>126</v>
      </c>
      <c r="F81" s="14">
        <v>42</v>
      </c>
      <c r="G81" s="24">
        <v>1</v>
      </c>
      <c r="H81" s="23">
        <f t="shared" si="5"/>
        <v>126</v>
      </c>
    </row>
    <row r="82" spans="1:8" x14ac:dyDescent="0.25">
      <c r="A82" s="15" t="s">
        <v>136</v>
      </c>
      <c r="B82" s="29">
        <v>12852265267</v>
      </c>
      <c r="C82" s="12">
        <v>0</v>
      </c>
      <c r="D82" s="14">
        <v>4</v>
      </c>
      <c r="E82" s="17">
        <f>D82*F82</f>
        <v>168</v>
      </c>
      <c r="F82" s="14">
        <v>42</v>
      </c>
      <c r="H82" s="23">
        <f>G82*E82</f>
        <v>0</v>
      </c>
    </row>
    <row r="83" spans="1:8" x14ac:dyDescent="0.25">
      <c r="A83" s="25" t="s">
        <v>137</v>
      </c>
      <c r="B83" s="26">
        <v>12671790014</v>
      </c>
      <c r="C83" s="30">
        <v>1</v>
      </c>
      <c r="D83" s="31">
        <v>4</v>
      </c>
      <c r="E83" s="17">
        <f t="shared" si="4"/>
        <v>168</v>
      </c>
      <c r="F83" s="14">
        <v>42</v>
      </c>
      <c r="H83" s="23">
        <f t="shared" si="5"/>
        <v>0</v>
      </c>
    </row>
    <row r="84" spans="1:8" x14ac:dyDescent="0.25">
      <c r="A84" s="25" t="s">
        <v>138</v>
      </c>
      <c r="B84" s="26">
        <v>12491314761</v>
      </c>
      <c r="C84" s="30">
        <v>1</v>
      </c>
      <c r="D84" s="31">
        <v>5</v>
      </c>
      <c r="E84" s="17">
        <f t="shared" si="4"/>
        <v>210</v>
      </c>
      <c r="F84" s="14">
        <v>42</v>
      </c>
      <c r="H84" s="23">
        <f t="shared" si="5"/>
        <v>0</v>
      </c>
    </row>
    <row r="85" spans="1:8" x14ac:dyDescent="0.25">
      <c r="A85" s="25"/>
      <c r="B85" s="26"/>
      <c r="C85" s="30"/>
      <c r="D85" s="31"/>
      <c r="E85" s="17">
        <f t="shared" si="4"/>
        <v>0</v>
      </c>
      <c r="F85" s="14">
        <v>42</v>
      </c>
      <c r="H85" s="23">
        <f t="shared" si="5"/>
        <v>0</v>
      </c>
    </row>
    <row r="86" spans="1:8" x14ac:dyDescent="0.25">
      <c r="A86" s="25"/>
      <c r="B86" s="26"/>
      <c r="C86" s="30"/>
      <c r="D86" s="31"/>
      <c r="E86" s="17">
        <f t="shared" si="4"/>
        <v>0</v>
      </c>
      <c r="F86" s="14">
        <v>42</v>
      </c>
      <c r="H86" s="23">
        <f t="shared" si="5"/>
        <v>0</v>
      </c>
    </row>
    <row r="87" spans="1:8" x14ac:dyDescent="0.25">
      <c r="A87" s="25"/>
      <c r="B87" s="26"/>
      <c r="C87" s="30"/>
      <c r="D87" s="31"/>
      <c r="E87" s="17">
        <v>0</v>
      </c>
      <c r="F87" s="14">
        <v>42</v>
      </c>
      <c r="G87" s="28"/>
      <c r="H87" s="23">
        <f t="shared" si="5"/>
        <v>0</v>
      </c>
    </row>
    <row r="88" spans="1:8" x14ac:dyDescent="0.25">
      <c r="A88" s="25"/>
      <c r="B88" s="26"/>
      <c r="C88" s="30"/>
      <c r="D88" s="31"/>
      <c r="E88" s="17">
        <f t="shared" si="4"/>
        <v>0</v>
      </c>
      <c r="F88" s="14">
        <v>42</v>
      </c>
      <c r="H88" s="23">
        <f t="shared" si="5"/>
        <v>0</v>
      </c>
    </row>
    <row r="89" spans="1:8" x14ac:dyDescent="0.25">
      <c r="A89" s="25"/>
      <c r="B89" s="26"/>
      <c r="C89" s="30"/>
      <c r="D89" s="31"/>
      <c r="E89" s="17">
        <f t="shared" si="4"/>
        <v>0</v>
      </c>
      <c r="F89" s="14">
        <v>42</v>
      </c>
      <c r="H89" s="23">
        <f t="shared" si="5"/>
        <v>0</v>
      </c>
    </row>
    <row r="90" spans="1:8" x14ac:dyDescent="0.25">
      <c r="A90" s="25"/>
      <c r="B90" s="26"/>
      <c r="C90" s="30"/>
      <c r="D90" s="31"/>
      <c r="E90" s="17">
        <f t="shared" si="4"/>
        <v>0</v>
      </c>
      <c r="F90" s="14">
        <v>42</v>
      </c>
      <c r="H90" s="23">
        <f t="shared" si="5"/>
        <v>0</v>
      </c>
    </row>
    <row r="91" spans="1:8" x14ac:dyDescent="0.25">
      <c r="A91" s="25"/>
      <c r="B91" s="26"/>
      <c r="C91" s="30"/>
      <c r="D91" s="31"/>
      <c r="E91" s="17">
        <f t="shared" si="4"/>
        <v>0</v>
      </c>
      <c r="F91" s="14">
        <v>42</v>
      </c>
      <c r="H91" s="23">
        <f t="shared" si="5"/>
        <v>0</v>
      </c>
    </row>
    <row r="92" spans="1:8" x14ac:dyDescent="0.25">
      <c r="A92" s="25"/>
      <c r="B92" s="26"/>
      <c r="C92" s="30"/>
      <c r="D92" s="31"/>
      <c r="E92" s="17">
        <f t="shared" si="4"/>
        <v>0</v>
      </c>
      <c r="F92" s="14">
        <v>42</v>
      </c>
      <c r="H92" s="23">
        <f t="shared" si="5"/>
        <v>0</v>
      </c>
    </row>
    <row r="93" spans="1:8" x14ac:dyDescent="0.25">
      <c r="A93" s="25"/>
      <c r="B93" s="26"/>
      <c r="C93" s="30"/>
      <c r="D93" s="31"/>
      <c r="E93" s="17">
        <f t="shared" si="4"/>
        <v>0</v>
      </c>
      <c r="F93" s="14">
        <v>42</v>
      </c>
      <c r="H93" s="23">
        <f t="shared" si="5"/>
        <v>0</v>
      </c>
    </row>
    <row r="94" spans="1:8" x14ac:dyDescent="0.25">
      <c r="A94" s="25"/>
      <c r="B94" s="26"/>
      <c r="C94" s="30"/>
      <c r="D94" s="31"/>
      <c r="E94" s="17">
        <f t="shared" si="4"/>
        <v>0</v>
      </c>
      <c r="F94" s="14">
        <v>42</v>
      </c>
      <c r="H94" s="23">
        <f t="shared" si="5"/>
        <v>0</v>
      </c>
    </row>
    <row r="95" spans="1:8" x14ac:dyDescent="0.25">
      <c r="A95" s="25"/>
      <c r="B95" s="26"/>
      <c r="C95" s="30"/>
      <c r="D95" s="31"/>
      <c r="E95" s="17">
        <f t="shared" si="4"/>
        <v>0</v>
      </c>
      <c r="F95" s="14">
        <v>42</v>
      </c>
      <c r="H95" s="23">
        <f t="shared" si="5"/>
        <v>0</v>
      </c>
    </row>
    <row r="96" spans="1:8" x14ac:dyDescent="0.25">
      <c r="A96" s="25"/>
      <c r="B96" s="26"/>
      <c r="C96" s="30"/>
      <c r="D96" s="31"/>
      <c r="E96" s="17">
        <f t="shared" si="4"/>
        <v>0</v>
      </c>
      <c r="F96" s="14">
        <v>42</v>
      </c>
      <c r="H96" s="23">
        <f t="shared" si="5"/>
        <v>0</v>
      </c>
    </row>
    <row r="97" spans="1:8" x14ac:dyDescent="0.25">
      <c r="A97" s="25"/>
      <c r="B97" s="26"/>
      <c r="C97" s="30"/>
      <c r="D97" s="31"/>
      <c r="E97" s="17">
        <f t="shared" si="4"/>
        <v>0</v>
      </c>
      <c r="F97" s="14">
        <v>42</v>
      </c>
      <c r="H97" s="23">
        <f t="shared" si="5"/>
        <v>0</v>
      </c>
    </row>
    <row r="98" spans="1:8" x14ac:dyDescent="0.25">
      <c r="A98" s="25"/>
      <c r="B98" s="26"/>
      <c r="C98" s="30"/>
      <c r="D98" s="31"/>
      <c r="E98" s="17">
        <f t="shared" si="4"/>
        <v>0</v>
      </c>
      <c r="F98" s="14">
        <v>42</v>
      </c>
      <c r="H98" s="23">
        <f t="shared" si="5"/>
        <v>0</v>
      </c>
    </row>
    <row r="99" spans="1:8" x14ac:dyDescent="0.25">
      <c r="A99" s="25"/>
      <c r="B99" s="26"/>
      <c r="C99" s="30"/>
      <c r="D99" s="31"/>
      <c r="E99" s="17">
        <f t="shared" si="4"/>
        <v>0</v>
      </c>
      <c r="F99" s="14">
        <v>42</v>
      </c>
      <c r="H99" s="23">
        <f t="shared" si="5"/>
        <v>0</v>
      </c>
    </row>
    <row r="100" spans="1:8" x14ac:dyDescent="0.25">
      <c r="A100" s="25"/>
      <c r="B100" s="26"/>
      <c r="C100" s="30"/>
      <c r="D100" s="31"/>
      <c r="E100" s="17">
        <f t="shared" si="4"/>
        <v>0</v>
      </c>
      <c r="F100" s="14">
        <v>42</v>
      </c>
      <c r="H100" s="23">
        <f t="shared" si="5"/>
        <v>0</v>
      </c>
    </row>
    <row r="101" spans="1:8" x14ac:dyDescent="0.25">
      <c r="A101" s="25"/>
      <c r="B101" s="26"/>
      <c r="C101" s="30"/>
      <c r="D101" s="31"/>
      <c r="E101" s="17">
        <f t="shared" si="4"/>
        <v>0</v>
      </c>
      <c r="F101" s="14">
        <v>42</v>
      </c>
      <c r="H101" s="23">
        <f t="shared" si="5"/>
        <v>0</v>
      </c>
    </row>
    <row r="102" spans="1:8" x14ac:dyDescent="0.25">
      <c r="A102" s="25"/>
      <c r="B102" s="26"/>
      <c r="C102" s="30"/>
      <c r="D102" s="31"/>
      <c r="E102" s="17">
        <f t="shared" si="4"/>
        <v>0</v>
      </c>
      <c r="F102" s="14">
        <v>42</v>
      </c>
      <c r="H102" s="23">
        <f t="shared" si="5"/>
        <v>0</v>
      </c>
    </row>
    <row r="103" spans="1:8" x14ac:dyDescent="0.25">
      <c r="A103" s="25"/>
      <c r="B103" s="26"/>
      <c r="C103" s="30"/>
      <c r="D103" s="31"/>
      <c r="E103" s="17">
        <f t="shared" si="4"/>
        <v>0</v>
      </c>
      <c r="F103" s="14">
        <v>42</v>
      </c>
      <c r="H103" s="23">
        <f t="shared" si="5"/>
        <v>0</v>
      </c>
    </row>
    <row r="104" spans="1:8" x14ac:dyDescent="0.25">
      <c r="A104" s="25"/>
      <c r="B104" s="26"/>
      <c r="C104" s="30"/>
      <c r="D104" s="31"/>
      <c r="E104" s="17">
        <f t="shared" si="4"/>
        <v>0</v>
      </c>
      <c r="F104" s="14">
        <v>42</v>
      </c>
      <c r="H104" s="23">
        <f t="shared" si="5"/>
        <v>0</v>
      </c>
    </row>
    <row r="105" spans="1:8" x14ac:dyDescent="0.25">
      <c r="A105" s="25"/>
      <c r="B105" s="26"/>
      <c r="C105" s="30"/>
      <c r="D105" s="31"/>
      <c r="E105" s="17">
        <f t="shared" si="4"/>
        <v>0</v>
      </c>
      <c r="F105" s="14">
        <v>42</v>
      </c>
      <c r="H105" s="23">
        <f t="shared" si="5"/>
        <v>0</v>
      </c>
    </row>
    <row r="106" spans="1:8" x14ac:dyDescent="0.25">
      <c r="A106" s="25"/>
      <c r="B106" s="26"/>
      <c r="C106" s="30"/>
      <c r="D106" s="31"/>
      <c r="E106" s="17">
        <f t="shared" si="4"/>
        <v>0</v>
      </c>
      <c r="F106" s="14">
        <v>42</v>
      </c>
      <c r="H106" s="23">
        <f t="shared" si="5"/>
        <v>0</v>
      </c>
    </row>
    <row r="107" spans="1:8" x14ac:dyDescent="0.25">
      <c r="A107" s="25"/>
      <c r="B107" s="26"/>
      <c r="C107" s="30"/>
      <c r="D107" s="31"/>
      <c r="E107" s="17">
        <f t="shared" si="4"/>
        <v>0</v>
      </c>
      <c r="F107" s="14">
        <v>42</v>
      </c>
      <c r="H107" s="23">
        <f t="shared" si="5"/>
        <v>0</v>
      </c>
    </row>
    <row r="108" spans="1:8" x14ac:dyDescent="0.25">
      <c r="A108" s="25"/>
      <c r="B108" s="26"/>
      <c r="C108" s="30"/>
      <c r="D108" s="31"/>
      <c r="E108" s="17">
        <f t="shared" si="4"/>
        <v>0</v>
      </c>
      <c r="F108" s="14">
        <v>42</v>
      </c>
      <c r="H108" s="23">
        <f t="shared" si="5"/>
        <v>0</v>
      </c>
    </row>
    <row r="109" spans="1:8" x14ac:dyDescent="0.25">
      <c r="A109" s="25"/>
      <c r="B109" s="26"/>
      <c r="C109" s="30"/>
      <c r="D109" s="31"/>
      <c r="E109" s="17">
        <f t="shared" si="4"/>
        <v>0</v>
      </c>
      <c r="F109" s="14">
        <v>42</v>
      </c>
      <c r="H109" s="23">
        <f t="shared" si="5"/>
        <v>0</v>
      </c>
    </row>
    <row r="110" spans="1:8" x14ac:dyDescent="0.25">
      <c r="A110" s="25"/>
      <c r="B110" s="26"/>
      <c r="C110" s="30"/>
      <c r="D110" s="31"/>
      <c r="E110" s="17">
        <f t="shared" si="4"/>
        <v>0</v>
      </c>
      <c r="F110" s="14">
        <v>42</v>
      </c>
      <c r="H110" s="23">
        <f t="shared" si="5"/>
        <v>0</v>
      </c>
    </row>
    <row r="111" spans="1:8" x14ac:dyDescent="0.25">
      <c r="A111" s="25"/>
      <c r="B111" s="26"/>
      <c r="C111" s="30"/>
      <c r="D111" s="31"/>
      <c r="E111" s="17">
        <f t="shared" si="4"/>
        <v>0</v>
      </c>
      <c r="F111" s="14">
        <v>42</v>
      </c>
      <c r="H111" s="23">
        <f t="shared" si="5"/>
        <v>0</v>
      </c>
    </row>
    <row r="112" spans="1:8" x14ac:dyDescent="0.25">
      <c r="A112" s="25"/>
      <c r="B112" s="26"/>
      <c r="C112" s="30"/>
      <c r="D112" s="31"/>
      <c r="E112" s="17">
        <f t="shared" si="4"/>
        <v>0</v>
      </c>
      <c r="F112" s="14">
        <v>42</v>
      </c>
      <c r="H112" s="23">
        <f t="shared" si="5"/>
        <v>0</v>
      </c>
    </row>
    <row r="113" spans="1:8" x14ac:dyDescent="0.25">
      <c r="A113" s="25"/>
      <c r="B113" s="26"/>
      <c r="C113" s="30"/>
      <c r="D113" s="31"/>
      <c r="E113" s="17">
        <f t="shared" si="4"/>
        <v>0</v>
      </c>
      <c r="F113" s="14">
        <v>42</v>
      </c>
      <c r="H113" s="23">
        <f t="shared" si="5"/>
        <v>0</v>
      </c>
    </row>
    <row r="114" spans="1:8" x14ac:dyDescent="0.25">
      <c r="A114" s="25"/>
      <c r="B114" s="26"/>
      <c r="C114" s="30"/>
      <c r="D114" s="31"/>
      <c r="E114" s="17">
        <f t="shared" si="4"/>
        <v>0</v>
      </c>
      <c r="F114" s="14">
        <v>42</v>
      </c>
      <c r="H114" s="23">
        <f t="shared" si="5"/>
        <v>0</v>
      </c>
    </row>
    <row r="115" spans="1:8" x14ac:dyDescent="0.25">
      <c r="A115" s="25"/>
      <c r="B115" s="26"/>
      <c r="C115" s="30"/>
      <c r="D115" s="31"/>
      <c r="E115" s="17">
        <f t="shared" si="4"/>
        <v>0</v>
      </c>
      <c r="F115" s="14">
        <v>42</v>
      </c>
      <c r="H115" s="23">
        <f t="shared" si="5"/>
        <v>0</v>
      </c>
    </row>
    <row r="116" spans="1:8" x14ac:dyDescent="0.25">
      <c r="A116" s="25"/>
      <c r="B116" s="26"/>
      <c r="C116" s="30"/>
      <c r="D116" s="31"/>
      <c r="E116" s="17">
        <f t="shared" si="4"/>
        <v>0</v>
      </c>
      <c r="F116" s="14">
        <v>42</v>
      </c>
      <c r="H116" s="23">
        <f t="shared" si="5"/>
        <v>0</v>
      </c>
    </row>
    <row r="117" spans="1:8" x14ac:dyDescent="0.25">
      <c r="A117" s="25"/>
      <c r="B117" s="26"/>
      <c r="C117" s="30"/>
      <c r="D117" s="31"/>
      <c r="E117" s="17">
        <f t="shared" si="4"/>
        <v>0</v>
      </c>
      <c r="F117" s="14">
        <v>42</v>
      </c>
      <c r="H117" s="23">
        <f t="shared" si="5"/>
        <v>0</v>
      </c>
    </row>
    <row r="118" spans="1:8" x14ac:dyDescent="0.25">
      <c r="A118" s="25"/>
      <c r="B118" s="26"/>
      <c r="C118" s="30"/>
      <c r="D118" s="31"/>
      <c r="E118" s="17">
        <f t="shared" si="4"/>
        <v>0</v>
      </c>
      <c r="F118" s="14">
        <v>42</v>
      </c>
      <c r="H118" s="23">
        <f t="shared" si="5"/>
        <v>0</v>
      </c>
    </row>
    <row r="119" spans="1:8" x14ac:dyDescent="0.25">
      <c r="A119" s="25"/>
      <c r="B119" s="26"/>
      <c r="C119" s="30"/>
      <c r="D119" s="31"/>
      <c r="E119" s="17">
        <f t="shared" si="4"/>
        <v>0</v>
      </c>
      <c r="F119" s="14">
        <v>42</v>
      </c>
      <c r="H119" s="23">
        <f t="shared" si="5"/>
        <v>0</v>
      </c>
    </row>
    <row r="120" spans="1:8" x14ac:dyDescent="0.25">
      <c r="A120" s="25"/>
      <c r="B120" s="26"/>
      <c r="C120" s="30"/>
      <c r="D120" s="31"/>
      <c r="E120" s="17">
        <f t="shared" si="4"/>
        <v>0</v>
      </c>
      <c r="F120" s="14">
        <v>42</v>
      </c>
      <c r="H120" s="23">
        <f t="shared" si="5"/>
        <v>0</v>
      </c>
    </row>
    <row r="121" spans="1:8" x14ac:dyDescent="0.25">
      <c r="A121" s="25"/>
      <c r="B121" s="26"/>
      <c r="C121" s="30"/>
      <c r="D121" s="31"/>
      <c r="E121" s="17">
        <f t="shared" si="4"/>
        <v>0</v>
      </c>
      <c r="F121" s="14">
        <v>42</v>
      </c>
      <c r="H121" s="23">
        <f t="shared" si="5"/>
        <v>0</v>
      </c>
    </row>
    <row r="122" spans="1:8" x14ac:dyDescent="0.25">
      <c r="A122" s="25"/>
      <c r="B122" s="26"/>
      <c r="C122" s="30"/>
      <c r="D122" s="31"/>
      <c r="E122" s="17">
        <f t="shared" si="4"/>
        <v>0</v>
      </c>
      <c r="F122" s="14">
        <v>42</v>
      </c>
      <c r="H122" s="23">
        <f t="shared" si="5"/>
        <v>0</v>
      </c>
    </row>
    <row r="123" spans="1:8" x14ac:dyDescent="0.25">
      <c r="A123" s="25"/>
      <c r="B123" s="26"/>
      <c r="C123" s="30"/>
      <c r="D123" s="31"/>
      <c r="E123" s="17">
        <f t="shared" si="4"/>
        <v>0</v>
      </c>
      <c r="F123" s="14">
        <v>42</v>
      </c>
      <c r="H123" s="23">
        <f t="shared" si="5"/>
        <v>0</v>
      </c>
    </row>
    <row r="124" spans="1:8" x14ac:dyDescent="0.25">
      <c r="A124" s="25"/>
      <c r="B124" s="26"/>
      <c r="C124" s="30"/>
      <c r="D124" s="31"/>
      <c r="E124" s="17">
        <f t="shared" si="4"/>
        <v>0</v>
      </c>
      <c r="F124" s="14">
        <v>42</v>
      </c>
      <c r="H124" s="23">
        <f t="shared" si="5"/>
        <v>0</v>
      </c>
    </row>
    <row r="125" spans="1:8" x14ac:dyDescent="0.25">
      <c r="A125" s="25"/>
      <c r="B125" s="26"/>
      <c r="C125" s="30"/>
      <c r="D125" s="31"/>
      <c r="E125" s="17">
        <f t="shared" si="4"/>
        <v>0</v>
      </c>
      <c r="F125" s="14">
        <v>42</v>
      </c>
      <c r="H125" s="23">
        <f t="shared" si="5"/>
        <v>0</v>
      </c>
    </row>
    <row r="126" spans="1:8" x14ac:dyDescent="0.25">
      <c r="A126" s="25"/>
      <c r="B126" s="26"/>
      <c r="C126" s="30"/>
      <c r="D126" s="31"/>
      <c r="E126" s="17">
        <f t="shared" si="4"/>
        <v>0</v>
      </c>
      <c r="F126" s="14">
        <v>42</v>
      </c>
      <c r="H126" s="23">
        <f t="shared" si="5"/>
        <v>0</v>
      </c>
    </row>
    <row r="127" spans="1:8" x14ac:dyDescent="0.25">
      <c r="A127" s="25"/>
      <c r="B127" s="26"/>
      <c r="C127" s="30"/>
      <c r="D127" s="31"/>
      <c r="E127" s="17">
        <f t="shared" si="4"/>
        <v>0</v>
      </c>
      <c r="F127" s="14">
        <v>42</v>
      </c>
      <c r="H127" s="23">
        <f t="shared" si="5"/>
        <v>0</v>
      </c>
    </row>
    <row r="128" spans="1:8" x14ac:dyDescent="0.25">
      <c r="A128" s="25"/>
      <c r="B128" s="26"/>
      <c r="C128" s="30"/>
      <c r="D128" s="31"/>
      <c r="E128" s="17">
        <f t="shared" si="4"/>
        <v>0</v>
      </c>
      <c r="F128" s="14">
        <v>42</v>
      </c>
      <c r="H128" s="23">
        <f t="shared" si="5"/>
        <v>0</v>
      </c>
    </row>
    <row r="129" spans="1:8" x14ac:dyDescent="0.25">
      <c r="A129" s="25"/>
      <c r="B129" s="26"/>
      <c r="C129" s="30"/>
      <c r="D129" s="31"/>
      <c r="E129" s="17">
        <f t="shared" si="4"/>
        <v>0</v>
      </c>
      <c r="F129" s="14">
        <v>42</v>
      </c>
      <c r="H129" s="23">
        <f t="shared" si="5"/>
        <v>0</v>
      </c>
    </row>
    <row r="130" spans="1:8" x14ac:dyDescent="0.25">
      <c r="A130" s="25"/>
      <c r="B130" s="26"/>
      <c r="C130" s="30"/>
      <c r="D130" s="31"/>
      <c r="E130" s="17">
        <f t="shared" si="4"/>
        <v>0</v>
      </c>
      <c r="F130" s="14">
        <v>42</v>
      </c>
      <c r="H130" s="23">
        <f t="shared" si="5"/>
        <v>0</v>
      </c>
    </row>
    <row r="131" spans="1:8" x14ac:dyDescent="0.25">
      <c r="A131" s="25"/>
      <c r="B131" s="26"/>
      <c r="C131" s="30"/>
      <c r="D131" s="31"/>
      <c r="E131" s="17">
        <f t="shared" si="4"/>
        <v>0</v>
      </c>
      <c r="F131" s="14">
        <v>42</v>
      </c>
      <c r="H131" s="23">
        <f t="shared" si="5"/>
        <v>0</v>
      </c>
    </row>
    <row r="132" spans="1:8" x14ac:dyDescent="0.25">
      <c r="A132" s="25"/>
      <c r="B132" s="26"/>
      <c r="C132" s="30"/>
      <c r="D132" s="31"/>
      <c r="E132" s="17">
        <f t="shared" si="4"/>
        <v>0</v>
      </c>
      <c r="F132" s="14">
        <v>42</v>
      </c>
      <c r="H132" s="23">
        <f t="shared" si="5"/>
        <v>0</v>
      </c>
    </row>
    <row r="133" spans="1:8" x14ac:dyDescent="0.25">
      <c r="A133" s="25"/>
      <c r="B133" s="26"/>
      <c r="C133" s="30"/>
      <c r="D133" s="31"/>
      <c r="E133" s="17">
        <f t="shared" ref="E133:E181" si="6">D133*F133</f>
        <v>0</v>
      </c>
      <c r="F133" s="14">
        <v>42</v>
      </c>
      <c r="H133" s="23">
        <f t="shared" si="5"/>
        <v>0</v>
      </c>
    </row>
    <row r="134" spans="1:8" x14ac:dyDescent="0.25">
      <c r="A134" s="25"/>
      <c r="B134" s="26"/>
      <c r="C134" s="30"/>
      <c r="D134" s="31"/>
      <c r="E134" s="17">
        <f t="shared" si="6"/>
        <v>0</v>
      </c>
      <c r="F134" s="14">
        <v>42</v>
      </c>
      <c r="H134" s="23">
        <f t="shared" ref="H134:H181" si="7">G134*E134</f>
        <v>0</v>
      </c>
    </row>
    <row r="135" spans="1:8" x14ac:dyDescent="0.25">
      <c r="A135" s="25"/>
      <c r="B135" s="26"/>
      <c r="C135" s="30"/>
      <c r="D135" s="31"/>
      <c r="E135" s="17">
        <f t="shared" si="6"/>
        <v>0</v>
      </c>
      <c r="F135" s="14">
        <v>42</v>
      </c>
      <c r="H135" s="23">
        <f t="shared" si="7"/>
        <v>0</v>
      </c>
    </row>
    <row r="136" spans="1:8" x14ac:dyDescent="0.25">
      <c r="A136" s="25"/>
      <c r="B136" s="26"/>
      <c r="C136" s="30"/>
      <c r="D136" s="31"/>
      <c r="E136" s="17">
        <f t="shared" si="6"/>
        <v>0</v>
      </c>
      <c r="F136" s="14">
        <v>42</v>
      </c>
      <c r="H136" s="23">
        <f t="shared" si="7"/>
        <v>0</v>
      </c>
    </row>
    <row r="137" spans="1:8" x14ac:dyDescent="0.25">
      <c r="A137" s="25"/>
      <c r="B137" s="26"/>
      <c r="C137" s="30"/>
      <c r="D137" s="31"/>
      <c r="E137" s="17">
        <f t="shared" si="6"/>
        <v>0</v>
      </c>
      <c r="F137" s="14">
        <v>42</v>
      </c>
      <c r="H137" s="23">
        <f t="shared" si="7"/>
        <v>0</v>
      </c>
    </row>
    <row r="138" spans="1:8" x14ac:dyDescent="0.25">
      <c r="A138" s="25"/>
      <c r="B138" s="26"/>
      <c r="C138" s="30"/>
      <c r="D138" s="31"/>
      <c r="E138" s="17">
        <f t="shared" si="6"/>
        <v>0</v>
      </c>
      <c r="F138" s="14">
        <v>42</v>
      </c>
      <c r="H138" s="23">
        <f t="shared" si="7"/>
        <v>0</v>
      </c>
    </row>
    <row r="139" spans="1:8" x14ac:dyDescent="0.25">
      <c r="A139" s="25"/>
      <c r="B139" s="26"/>
      <c r="C139" s="30"/>
      <c r="D139" s="31"/>
      <c r="E139" s="17">
        <f t="shared" si="6"/>
        <v>0</v>
      </c>
      <c r="F139" s="14">
        <v>42</v>
      </c>
      <c r="H139" s="23">
        <f t="shared" si="7"/>
        <v>0</v>
      </c>
    </row>
    <row r="140" spans="1:8" x14ac:dyDescent="0.25">
      <c r="A140" s="25"/>
      <c r="B140" s="26"/>
      <c r="C140" s="30"/>
      <c r="D140" s="31"/>
      <c r="E140" s="17">
        <f t="shared" si="6"/>
        <v>0</v>
      </c>
      <c r="F140" s="14">
        <v>42</v>
      </c>
      <c r="H140" s="23">
        <f t="shared" si="7"/>
        <v>0</v>
      </c>
    </row>
    <row r="141" spans="1:8" x14ac:dyDescent="0.25">
      <c r="A141" s="25"/>
      <c r="B141" s="26"/>
      <c r="C141" s="30"/>
      <c r="D141" s="31"/>
      <c r="E141" s="17">
        <f t="shared" si="6"/>
        <v>0</v>
      </c>
      <c r="F141" s="14">
        <v>42</v>
      </c>
      <c r="H141" s="23">
        <f t="shared" si="7"/>
        <v>0</v>
      </c>
    </row>
    <row r="142" spans="1:8" x14ac:dyDescent="0.25">
      <c r="A142" s="25"/>
      <c r="B142" s="26"/>
      <c r="C142" s="30"/>
      <c r="D142" s="31"/>
      <c r="E142" s="17">
        <f t="shared" si="6"/>
        <v>0</v>
      </c>
      <c r="F142" s="14">
        <v>42</v>
      </c>
      <c r="H142" s="23">
        <f t="shared" si="7"/>
        <v>0</v>
      </c>
    </row>
    <row r="143" spans="1:8" x14ac:dyDescent="0.25">
      <c r="A143" s="25"/>
      <c r="B143" s="26"/>
      <c r="C143" s="30"/>
      <c r="D143" s="31"/>
      <c r="E143" s="17">
        <f t="shared" si="6"/>
        <v>0</v>
      </c>
      <c r="F143" s="14">
        <v>42</v>
      </c>
      <c r="H143" s="23">
        <f t="shared" si="7"/>
        <v>0</v>
      </c>
    </row>
    <row r="144" spans="1:8" x14ac:dyDescent="0.25">
      <c r="A144" s="25"/>
      <c r="B144" s="26"/>
      <c r="C144" s="30"/>
      <c r="D144" s="31"/>
      <c r="E144" s="17">
        <f t="shared" si="6"/>
        <v>0</v>
      </c>
      <c r="F144" s="14">
        <v>42</v>
      </c>
      <c r="H144" s="23">
        <f t="shared" si="7"/>
        <v>0</v>
      </c>
    </row>
    <row r="145" spans="1:8" x14ac:dyDescent="0.25">
      <c r="A145" s="25"/>
      <c r="B145" s="26"/>
      <c r="C145" s="30"/>
      <c r="D145" s="31"/>
      <c r="E145" s="17">
        <f t="shared" si="6"/>
        <v>0</v>
      </c>
      <c r="F145" s="14">
        <v>42</v>
      </c>
      <c r="H145" s="23">
        <f t="shared" si="7"/>
        <v>0</v>
      </c>
    </row>
    <row r="146" spans="1:8" x14ac:dyDescent="0.25">
      <c r="A146" s="25"/>
      <c r="B146" s="26"/>
      <c r="C146" s="30"/>
      <c r="D146" s="31"/>
      <c r="E146" s="17">
        <f t="shared" si="6"/>
        <v>0</v>
      </c>
      <c r="F146" s="14">
        <v>42</v>
      </c>
      <c r="H146" s="23">
        <f t="shared" si="7"/>
        <v>0</v>
      </c>
    </row>
    <row r="147" spans="1:8" x14ac:dyDescent="0.25">
      <c r="A147" s="25"/>
      <c r="B147" s="26"/>
      <c r="C147" s="30"/>
      <c r="D147" s="31"/>
      <c r="E147" s="17">
        <f t="shared" si="6"/>
        <v>0</v>
      </c>
      <c r="F147" s="14">
        <v>42</v>
      </c>
      <c r="H147" s="23">
        <f t="shared" si="7"/>
        <v>0</v>
      </c>
    </row>
    <row r="148" spans="1:8" x14ac:dyDescent="0.25">
      <c r="A148" s="25"/>
      <c r="B148" s="26"/>
      <c r="C148" s="30"/>
      <c r="D148" s="31"/>
      <c r="E148" s="17">
        <f t="shared" si="6"/>
        <v>0</v>
      </c>
      <c r="F148" s="14">
        <v>42</v>
      </c>
      <c r="H148" s="23">
        <f t="shared" si="7"/>
        <v>0</v>
      </c>
    </row>
    <row r="149" spans="1:8" x14ac:dyDescent="0.25">
      <c r="A149" s="25"/>
      <c r="B149" s="26"/>
      <c r="C149" s="30"/>
      <c r="D149" s="31"/>
      <c r="E149" s="17">
        <f t="shared" si="6"/>
        <v>0</v>
      </c>
      <c r="F149" s="14">
        <v>42</v>
      </c>
      <c r="H149" s="23">
        <f t="shared" si="7"/>
        <v>0</v>
      </c>
    </row>
    <row r="150" spans="1:8" x14ac:dyDescent="0.25">
      <c r="A150" s="25"/>
      <c r="B150" s="26"/>
      <c r="C150" s="30"/>
      <c r="D150" s="31"/>
      <c r="E150" s="17">
        <f t="shared" si="6"/>
        <v>0</v>
      </c>
      <c r="F150" s="14">
        <v>42</v>
      </c>
      <c r="H150" s="23">
        <f t="shared" si="7"/>
        <v>0</v>
      </c>
    </row>
    <row r="151" spans="1:8" x14ac:dyDescent="0.25">
      <c r="A151" s="25"/>
      <c r="B151" s="26"/>
      <c r="C151" s="30"/>
      <c r="D151" s="31"/>
      <c r="E151" s="17">
        <f t="shared" si="6"/>
        <v>0</v>
      </c>
      <c r="F151" s="14">
        <v>42</v>
      </c>
      <c r="H151" s="23">
        <f t="shared" si="7"/>
        <v>0</v>
      </c>
    </row>
    <row r="152" spans="1:8" x14ac:dyDescent="0.25">
      <c r="A152" s="25"/>
      <c r="B152" s="26"/>
      <c r="C152" s="30"/>
      <c r="D152" s="31"/>
      <c r="E152" s="17">
        <f t="shared" si="6"/>
        <v>0</v>
      </c>
      <c r="F152" s="14">
        <v>42</v>
      </c>
      <c r="H152" s="23">
        <f t="shared" si="7"/>
        <v>0</v>
      </c>
    </row>
    <row r="153" spans="1:8" x14ac:dyDescent="0.25">
      <c r="A153" s="25"/>
      <c r="B153" s="26"/>
      <c r="C153" s="30"/>
      <c r="D153" s="31"/>
      <c r="E153" s="17">
        <f t="shared" si="6"/>
        <v>0</v>
      </c>
      <c r="F153" s="14">
        <v>42</v>
      </c>
      <c r="H153" s="23">
        <f t="shared" si="7"/>
        <v>0</v>
      </c>
    </row>
    <row r="154" spans="1:8" x14ac:dyDescent="0.25">
      <c r="A154" s="25"/>
      <c r="B154" s="26"/>
      <c r="C154" s="30"/>
      <c r="D154" s="31"/>
      <c r="E154" s="17">
        <f t="shared" si="6"/>
        <v>0</v>
      </c>
      <c r="F154" s="14">
        <v>42</v>
      </c>
      <c r="H154" s="23">
        <f t="shared" si="7"/>
        <v>0</v>
      </c>
    </row>
    <row r="155" spans="1:8" x14ac:dyDescent="0.25">
      <c r="A155" s="25"/>
      <c r="B155" s="26"/>
      <c r="C155" s="30"/>
      <c r="D155" s="31"/>
      <c r="E155" s="17">
        <f t="shared" si="6"/>
        <v>0</v>
      </c>
      <c r="F155" s="14">
        <v>42</v>
      </c>
      <c r="H155" s="23">
        <f t="shared" si="7"/>
        <v>0</v>
      </c>
    </row>
    <row r="156" spans="1:8" x14ac:dyDescent="0.25">
      <c r="A156" s="25"/>
      <c r="B156" s="26"/>
      <c r="C156" s="30"/>
      <c r="D156" s="31"/>
      <c r="E156" s="17">
        <f t="shared" si="6"/>
        <v>0</v>
      </c>
      <c r="F156" s="14">
        <v>42</v>
      </c>
      <c r="H156" s="23">
        <f t="shared" si="7"/>
        <v>0</v>
      </c>
    </row>
    <row r="157" spans="1:8" x14ac:dyDescent="0.25">
      <c r="A157" s="25"/>
      <c r="B157" s="26"/>
      <c r="C157" s="30"/>
      <c r="D157" s="31"/>
      <c r="E157" s="17">
        <f t="shared" si="6"/>
        <v>0</v>
      </c>
      <c r="F157" s="14">
        <v>42</v>
      </c>
      <c r="H157" s="23">
        <f t="shared" si="7"/>
        <v>0</v>
      </c>
    </row>
    <row r="158" spans="1:8" x14ac:dyDescent="0.25">
      <c r="A158" s="25"/>
      <c r="B158" s="26"/>
      <c r="C158" s="30"/>
      <c r="D158" s="31"/>
      <c r="E158" s="17">
        <f t="shared" si="6"/>
        <v>0</v>
      </c>
      <c r="F158" s="14">
        <v>42</v>
      </c>
      <c r="H158" s="23">
        <f t="shared" si="7"/>
        <v>0</v>
      </c>
    </row>
    <row r="159" spans="1:8" x14ac:dyDescent="0.25">
      <c r="A159" s="25"/>
      <c r="B159" s="26"/>
      <c r="C159" s="30"/>
      <c r="D159" s="31"/>
      <c r="E159" s="17">
        <f t="shared" si="6"/>
        <v>0</v>
      </c>
      <c r="F159" s="14">
        <v>42</v>
      </c>
      <c r="H159" s="23">
        <f t="shared" si="7"/>
        <v>0</v>
      </c>
    </row>
    <row r="160" spans="1:8" x14ac:dyDescent="0.25">
      <c r="A160" s="25"/>
      <c r="B160" s="26"/>
      <c r="C160" s="30"/>
      <c r="D160" s="31"/>
      <c r="E160" s="17">
        <f t="shared" si="6"/>
        <v>0</v>
      </c>
      <c r="F160" s="14">
        <v>42</v>
      </c>
      <c r="H160" s="23">
        <f t="shared" si="7"/>
        <v>0</v>
      </c>
    </row>
    <row r="161" spans="1:8" x14ac:dyDescent="0.25">
      <c r="A161" s="25"/>
      <c r="B161" s="26"/>
      <c r="C161" s="30"/>
      <c r="D161" s="31"/>
      <c r="E161" s="17">
        <f t="shared" si="6"/>
        <v>0</v>
      </c>
      <c r="F161" s="14">
        <v>42</v>
      </c>
      <c r="H161" s="23">
        <f t="shared" si="7"/>
        <v>0</v>
      </c>
    </row>
    <row r="162" spans="1:8" x14ac:dyDescent="0.25">
      <c r="A162" s="25"/>
      <c r="B162" s="26"/>
      <c r="C162" s="30"/>
      <c r="D162" s="31"/>
      <c r="E162" s="17">
        <f t="shared" si="6"/>
        <v>0</v>
      </c>
      <c r="F162" s="14">
        <v>42</v>
      </c>
      <c r="H162" s="23">
        <f t="shared" si="7"/>
        <v>0</v>
      </c>
    </row>
    <row r="163" spans="1:8" x14ac:dyDescent="0.25">
      <c r="A163" s="25"/>
      <c r="B163" s="26"/>
      <c r="C163" s="30"/>
      <c r="D163" s="31"/>
      <c r="E163" s="17">
        <f t="shared" si="6"/>
        <v>0</v>
      </c>
      <c r="F163" s="14">
        <v>42</v>
      </c>
      <c r="H163" s="23">
        <f t="shared" si="7"/>
        <v>0</v>
      </c>
    </row>
    <row r="164" spans="1:8" x14ac:dyDescent="0.25">
      <c r="A164" s="25"/>
      <c r="B164" s="26"/>
      <c r="C164" s="30"/>
      <c r="D164" s="31"/>
      <c r="E164" s="17">
        <f t="shared" si="6"/>
        <v>0</v>
      </c>
      <c r="F164" s="14">
        <v>42</v>
      </c>
      <c r="H164" s="23">
        <f t="shared" si="7"/>
        <v>0</v>
      </c>
    </row>
    <row r="165" spans="1:8" x14ac:dyDescent="0.25">
      <c r="A165" s="25"/>
      <c r="B165" s="26"/>
      <c r="C165" s="30"/>
      <c r="D165" s="31"/>
      <c r="E165" s="17">
        <f t="shared" si="6"/>
        <v>0</v>
      </c>
      <c r="F165" s="14">
        <v>42</v>
      </c>
      <c r="H165" s="23">
        <f t="shared" si="7"/>
        <v>0</v>
      </c>
    </row>
    <row r="166" spans="1:8" x14ac:dyDescent="0.25">
      <c r="A166" s="25"/>
      <c r="B166" s="26"/>
      <c r="C166" s="30"/>
      <c r="D166" s="31"/>
      <c r="E166" s="17">
        <f t="shared" si="6"/>
        <v>0</v>
      </c>
      <c r="F166" s="14">
        <v>42</v>
      </c>
      <c r="H166" s="23">
        <f t="shared" si="7"/>
        <v>0</v>
      </c>
    </row>
    <row r="167" spans="1:8" x14ac:dyDescent="0.25">
      <c r="A167" s="25"/>
      <c r="B167" s="26"/>
      <c r="C167" s="30"/>
      <c r="D167" s="31"/>
      <c r="E167" s="17">
        <f t="shared" si="6"/>
        <v>0</v>
      </c>
      <c r="F167" s="14">
        <v>42</v>
      </c>
      <c r="H167" s="23">
        <f t="shared" si="7"/>
        <v>0</v>
      </c>
    </row>
    <row r="168" spans="1:8" x14ac:dyDescent="0.25">
      <c r="A168" s="25"/>
      <c r="B168" s="26"/>
      <c r="C168" s="30"/>
      <c r="D168" s="31"/>
      <c r="E168" s="17">
        <f t="shared" si="6"/>
        <v>0</v>
      </c>
      <c r="F168" s="14">
        <v>42</v>
      </c>
      <c r="H168" s="23">
        <f t="shared" si="7"/>
        <v>0</v>
      </c>
    </row>
    <row r="169" spans="1:8" x14ac:dyDescent="0.25">
      <c r="A169" s="25"/>
      <c r="B169" s="26"/>
      <c r="C169" s="30"/>
      <c r="D169" s="31"/>
      <c r="E169" s="17">
        <f t="shared" si="6"/>
        <v>0</v>
      </c>
      <c r="F169" s="14">
        <v>42</v>
      </c>
      <c r="H169" s="23">
        <f t="shared" si="7"/>
        <v>0</v>
      </c>
    </row>
    <row r="170" spans="1:8" x14ac:dyDescent="0.25">
      <c r="A170" s="25"/>
      <c r="B170" s="26"/>
      <c r="C170" s="30"/>
      <c r="D170" s="31"/>
      <c r="E170" s="17">
        <f t="shared" si="6"/>
        <v>0</v>
      </c>
      <c r="F170" s="14">
        <v>42</v>
      </c>
      <c r="H170" s="23">
        <f t="shared" si="7"/>
        <v>0</v>
      </c>
    </row>
    <row r="171" spans="1:8" x14ac:dyDescent="0.25">
      <c r="A171" s="25"/>
      <c r="B171" s="26"/>
      <c r="C171" s="30"/>
      <c r="D171" s="31"/>
      <c r="E171" s="17">
        <f t="shared" si="6"/>
        <v>0</v>
      </c>
      <c r="F171" s="14">
        <v>42</v>
      </c>
      <c r="H171" s="23">
        <f t="shared" si="7"/>
        <v>0</v>
      </c>
    </row>
    <row r="172" spans="1:8" x14ac:dyDescent="0.25">
      <c r="A172" s="25"/>
      <c r="B172" s="26"/>
      <c r="C172" s="30"/>
      <c r="D172" s="31"/>
      <c r="E172" s="17">
        <f t="shared" si="6"/>
        <v>0</v>
      </c>
      <c r="F172" s="14">
        <v>42</v>
      </c>
      <c r="H172" s="23">
        <f t="shared" si="7"/>
        <v>0</v>
      </c>
    </row>
    <row r="173" spans="1:8" x14ac:dyDescent="0.25">
      <c r="A173" s="25"/>
      <c r="B173" s="26"/>
      <c r="C173" s="30"/>
      <c r="D173" s="31"/>
      <c r="E173" s="17">
        <f t="shared" si="6"/>
        <v>0</v>
      </c>
      <c r="F173" s="14">
        <v>42</v>
      </c>
      <c r="H173" s="23">
        <f t="shared" si="7"/>
        <v>0</v>
      </c>
    </row>
    <row r="174" spans="1:8" x14ac:dyDescent="0.25">
      <c r="A174" s="25"/>
      <c r="B174" s="26"/>
      <c r="C174" s="30"/>
      <c r="D174" s="31"/>
      <c r="E174" s="17">
        <f t="shared" si="6"/>
        <v>0</v>
      </c>
      <c r="F174" s="14">
        <v>42</v>
      </c>
      <c r="H174" s="23">
        <f t="shared" si="7"/>
        <v>0</v>
      </c>
    </row>
    <row r="175" spans="1:8" x14ac:dyDescent="0.25">
      <c r="A175" s="25"/>
      <c r="B175" s="26"/>
      <c r="C175" s="30"/>
      <c r="D175" s="31"/>
      <c r="E175" s="17">
        <f t="shared" si="6"/>
        <v>0</v>
      </c>
      <c r="F175" s="14">
        <v>42</v>
      </c>
      <c r="H175" s="23">
        <f t="shared" si="7"/>
        <v>0</v>
      </c>
    </row>
    <row r="176" spans="1:8" x14ac:dyDescent="0.25">
      <c r="A176" s="25"/>
      <c r="B176" s="26"/>
      <c r="C176" s="30"/>
      <c r="D176" s="31"/>
      <c r="E176" s="17">
        <f t="shared" si="6"/>
        <v>0</v>
      </c>
      <c r="F176" s="14">
        <v>42</v>
      </c>
      <c r="H176" s="23">
        <f t="shared" si="7"/>
        <v>0</v>
      </c>
    </row>
    <row r="177" spans="1:8" x14ac:dyDescent="0.25">
      <c r="A177" s="25"/>
      <c r="B177" s="26"/>
      <c r="C177" s="30"/>
      <c r="D177" s="31"/>
      <c r="E177" s="17">
        <f t="shared" si="6"/>
        <v>0</v>
      </c>
      <c r="F177" s="14">
        <v>42</v>
      </c>
      <c r="H177" s="23">
        <f t="shared" si="7"/>
        <v>0</v>
      </c>
    </row>
    <row r="178" spans="1:8" x14ac:dyDescent="0.25">
      <c r="A178" s="25"/>
      <c r="B178" s="26"/>
      <c r="C178" s="30"/>
      <c r="D178" s="31"/>
      <c r="E178" s="17">
        <f t="shared" si="6"/>
        <v>0</v>
      </c>
      <c r="F178" s="14">
        <v>42</v>
      </c>
      <c r="H178" s="23">
        <f t="shared" si="7"/>
        <v>0</v>
      </c>
    </row>
    <row r="179" spans="1:8" x14ac:dyDescent="0.25">
      <c r="A179" s="25"/>
      <c r="B179" s="26"/>
      <c r="C179" s="30"/>
      <c r="D179" s="31"/>
      <c r="E179" s="17">
        <f t="shared" si="6"/>
        <v>0</v>
      </c>
      <c r="F179" s="14">
        <v>42</v>
      </c>
      <c r="H179" s="23">
        <f t="shared" si="7"/>
        <v>0</v>
      </c>
    </row>
    <row r="180" spans="1:8" x14ac:dyDescent="0.25">
      <c r="A180" s="25"/>
      <c r="B180" s="26"/>
      <c r="C180" s="30"/>
      <c r="D180" s="31"/>
      <c r="E180" s="17">
        <f t="shared" si="6"/>
        <v>0</v>
      </c>
      <c r="F180" s="14">
        <v>42</v>
      </c>
      <c r="H180" s="23">
        <f t="shared" si="7"/>
        <v>0</v>
      </c>
    </row>
    <row r="181" spans="1:8" x14ac:dyDescent="0.25">
      <c r="A181" s="25"/>
      <c r="B181" s="26"/>
      <c r="C181" s="30"/>
      <c r="D181" s="31"/>
      <c r="E181" s="17">
        <f t="shared" si="6"/>
        <v>0</v>
      </c>
      <c r="F181" s="14">
        <v>42</v>
      </c>
      <c r="H181" s="23">
        <f t="shared" si="7"/>
        <v>0</v>
      </c>
    </row>
  </sheetData>
  <sheetProtection selectLockedCells="1"/>
  <mergeCells count="43">
    <mergeCell ref="K23:L23"/>
    <mergeCell ref="K24:L24"/>
    <mergeCell ref="K25:L25"/>
    <mergeCell ref="K26:L26"/>
    <mergeCell ref="K27:L27"/>
    <mergeCell ref="K18:L18"/>
    <mergeCell ref="K19:L19"/>
    <mergeCell ref="K20:L20"/>
    <mergeCell ref="K21:L21"/>
    <mergeCell ref="K22:L22"/>
    <mergeCell ref="K13:L13"/>
    <mergeCell ref="K14:L14"/>
    <mergeCell ref="K15:L15"/>
    <mergeCell ref="K16:L16"/>
    <mergeCell ref="K17:L17"/>
    <mergeCell ref="I23:J23"/>
    <mergeCell ref="I24:J24"/>
    <mergeCell ref="I25:J25"/>
    <mergeCell ref="I26:J26"/>
    <mergeCell ref="I27:J27"/>
    <mergeCell ref="I18:J18"/>
    <mergeCell ref="I19:J19"/>
    <mergeCell ref="I20:J20"/>
    <mergeCell ref="I21:J21"/>
    <mergeCell ref="I22:J22"/>
    <mergeCell ref="I13:J13"/>
    <mergeCell ref="I14:J14"/>
    <mergeCell ref="I15:J15"/>
    <mergeCell ref="I16:J16"/>
    <mergeCell ref="I17:J17"/>
    <mergeCell ref="I7:M8"/>
    <mergeCell ref="I9:J10"/>
    <mergeCell ref="K9:L10"/>
    <mergeCell ref="I11:J11"/>
    <mergeCell ref="I12:J12"/>
    <mergeCell ref="K11:L11"/>
    <mergeCell ref="K12:L12"/>
    <mergeCell ref="I1:N1"/>
    <mergeCell ref="I2:N2"/>
    <mergeCell ref="I3:J4"/>
    <mergeCell ref="K3:L4"/>
    <mergeCell ref="I5:J6"/>
    <mergeCell ref="K5:L6"/>
  </mergeCells>
  <phoneticPr fontId="18" type="noConversion"/>
  <hyperlinks>
    <hyperlink ref="I1" r:id="rId1" xr:uid="{265C594F-B28C-455E-92EC-D18413FA6570}"/>
  </hyperlinks>
  <pageMargins left="0.7" right="0.7" top="0.75" bottom="0.75" header="0.3" footer="0.3"/>
  <pageSetup paperSize="9" scale="51" fitToHeight="0" orientation="landscape" r:id="rId2"/>
  <ignoredErrors>
    <ignoredError sqref="H87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Yuriy Ostyuchenko</dc:creator>
  <cp:keywords/>
  <dc:description/>
  <cp:lastModifiedBy>Yuriy Ostyuchenko</cp:lastModifiedBy>
  <cp:revision/>
  <dcterms:created xsi:type="dcterms:W3CDTF">2015-06-05T18:17:20Z</dcterms:created>
  <dcterms:modified xsi:type="dcterms:W3CDTF">2026-04-03T21:29:28Z</dcterms:modified>
  <cp:category/>
  <cp:contentStatus/>
</cp:coreProperties>
</file>